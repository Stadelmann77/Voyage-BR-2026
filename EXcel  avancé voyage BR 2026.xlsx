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3358a4a601d82f7d/Documents/Voyage BR 2026/"/>
    </mc:Choice>
  </mc:AlternateContent>
  <xr:revisionPtr revIDLastSave="0" documentId="8_{9ACA0885-E0C8-476C-B898-D043CE38DC81}" xr6:coauthVersionLast="47" xr6:coauthVersionMax="47" xr10:uidLastSave="{00000000-0000-0000-0000-000000000000}"/>
  <bookViews>
    <workbookView xWindow="-51720" yWindow="-10605" windowWidth="51840" windowHeight="21120" activeTab="1" xr2:uid="{00000000-000D-0000-FFFF-FFFF00000000}"/>
  </bookViews>
  <sheets>
    <sheet name="Claude Log" sheetId="5" r:id="rId1"/>
    <sheet name="🗄️ BD Source" sheetId="19" r:id="rId2"/>
    <sheet name="📋 Logistique Vols" sheetId="6" r:id="rId3"/>
    <sheet name="🏨 Hébergements" sheetId="7" r:id="rId4"/>
    <sheet name="🚗 Location Voiture" sheetId="8" r:id="rId5"/>
    <sheet name="📅 Where by Date" sheetId="9" r:id="rId6"/>
    <sheet name="📊 Timeline Gantt (2)" sheetId="16" r:id="rId7"/>
    <sheet name="📊 Timeline Gantt" sheetId="10" r:id="rId8"/>
    <sheet name="💰 Coûts par Personne" sheetId="11" r:id="rId9"/>
    <sheet name="💰 Budget Total" sheetId="12" r:id="rId10"/>
    <sheet name="⚠️ Trous &amp; Alertes" sheetId="13" r:id="rId11"/>
    <sheet name="Feuil2" sheetId="18" r:id="rId12"/>
    <sheet name="✅ Checklist Voyage" sheetId="14" r:id="rId13"/>
    <sheet name="📞 Contacts &amp; Adresses" sheetId="15" r:id="rId14"/>
    <sheet name="📄 Description HTML" sheetId="17"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9" l="1"/>
  <c r="D20" i="9"/>
  <c r="C20" i="9"/>
  <c r="E19" i="9"/>
  <c r="D19" i="9"/>
  <c r="C19" i="9"/>
  <c r="D23" i="11"/>
  <c r="C23" i="11"/>
  <c r="D21" i="11"/>
  <c r="C21" i="11"/>
  <c r="D11" i="11"/>
  <c r="C11" i="11"/>
  <c r="D10" i="11"/>
  <c r="C10" i="11"/>
  <c r="C18" i="12"/>
  <c r="B18" i="12"/>
  <c r="P6" i="7"/>
  <c r="O6" i="7"/>
  <c r="N6" i="7"/>
  <c r="M6" i="7"/>
  <c r="L6" i="7"/>
  <c r="K6" i="7"/>
  <c r="J6" i="7"/>
  <c r="I6" i="7"/>
  <c r="H6" i="7"/>
  <c r="G6" i="7"/>
  <c r="F6" i="7"/>
  <c r="E6" i="7"/>
  <c r="D6" i="7"/>
  <c r="C6" i="7"/>
  <c r="B6" i="7"/>
  <c r="H19" i="19"/>
  <c r="G19" i="19"/>
  <c r="F19" i="19"/>
  <c r="E19" i="19"/>
  <c r="O9" i="16"/>
  <c r="O8" i="16"/>
  <c r="O7" i="16"/>
  <c r="O6" i="16"/>
  <c r="O5" i="16"/>
  <c r="N7" i="16"/>
  <c r="N6" i="16"/>
  <c r="K11" i="16"/>
  <c r="K10" i="16"/>
  <c r="K7" i="16"/>
  <c r="K5" i="16"/>
  <c r="J13" i="16"/>
  <c r="J12" i="16"/>
  <c r="J10" i="16"/>
  <c r="J5" i="16"/>
  <c r="C27" i="16"/>
  <c r="B24" i="16"/>
  <c r="C24" i="16"/>
  <c r="B21" i="16"/>
  <c r="C21" i="16"/>
  <c r="B18" i="16"/>
  <c r="C17" i="16"/>
  <c r="C14" i="16"/>
  <c r="C13" i="16"/>
  <c r="B10" i="16"/>
  <c r="C10" i="16"/>
  <c r="B8" i="16"/>
  <c r="D20" i="11"/>
  <c r="C20" i="11"/>
  <c r="D19" i="11"/>
  <c r="C19" i="11"/>
  <c r="D18" i="11"/>
  <c r="C18" i="11"/>
  <c r="C17" i="11"/>
  <c r="D16" i="11"/>
  <c r="C15" i="11"/>
  <c r="C14" i="11"/>
  <c r="D9" i="11"/>
  <c r="D8" i="11"/>
  <c r="C8" i="11"/>
  <c r="D7" i="11"/>
  <c r="C7" i="11"/>
  <c r="D6" i="11"/>
  <c r="C6" i="11"/>
  <c r="C5" i="11"/>
  <c r="B25" i="12"/>
  <c r="C20" i="12"/>
  <c r="C17" i="12"/>
  <c r="B17" i="12"/>
  <c r="C16" i="12"/>
  <c r="B16" i="12"/>
  <c r="C15" i="12"/>
  <c r="B15" i="12"/>
  <c r="C14" i="12"/>
  <c r="B14" i="12"/>
  <c r="C12" i="12"/>
  <c r="C11" i="12"/>
  <c r="B10" i="12"/>
  <c r="B7" i="12"/>
  <c r="B6" i="12"/>
  <c r="B5" i="12"/>
  <c r="L14" i="10"/>
  <c r="L13" i="10"/>
  <c r="L11" i="10"/>
  <c r="L10" i="10"/>
  <c r="K16" i="10"/>
  <c r="K14" i="10"/>
  <c r="K13" i="10"/>
  <c r="K6" i="10"/>
  <c r="K5" i="10"/>
  <c r="K4" i="10"/>
  <c r="J13" i="10"/>
  <c r="J12" i="10"/>
  <c r="J10" i="10"/>
  <c r="J5" i="10"/>
  <c r="G20" i="10"/>
  <c r="G19" i="10"/>
  <c r="G18" i="10"/>
  <c r="G14" i="10"/>
  <c r="G13" i="10"/>
  <c r="G8" i="10"/>
  <c r="G6" i="10"/>
  <c r="F18" i="10"/>
  <c r="F17" i="10"/>
  <c r="F14" i="10"/>
  <c r="F6" i="10"/>
  <c r="B27" i="10"/>
  <c r="B24" i="10"/>
  <c r="C24" i="10"/>
  <c r="B21" i="10"/>
  <c r="B18" i="10"/>
  <c r="C18" i="10"/>
  <c r="B17" i="10"/>
  <c r="C14" i="10"/>
  <c r="B13" i="10"/>
  <c r="B10" i="10"/>
  <c r="C10" i="10"/>
  <c r="B9" i="10"/>
  <c r="B6" i="10"/>
  <c r="C6" i="10"/>
  <c r="C5" i="10"/>
  <c r="E16" i="9"/>
  <c r="E15" i="9"/>
  <c r="E14" i="9"/>
  <c r="D16" i="9"/>
  <c r="C16" i="9"/>
  <c r="D15" i="9"/>
  <c r="C15" i="9"/>
  <c r="D14" i="9"/>
  <c r="C14" i="9"/>
  <c r="E13" i="9"/>
  <c r="E12" i="9"/>
  <c r="D13" i="9"/>
  <c r="C13" i="9"/>
  <c r="D12" i="9"/>
  <c r="C12" i="9"/>
  <c r="E11" i="9"/>
  <c r="C11" i="9"/>
  <c r="C10" i="9"/>
  <c r="C9" i="9"/>
  <c r="D4" i="9"/>
  <c r="P5" i="7"/>
  <c r="O5" i="7"/>
  <c r="N5" i="7"/>
  <c r="M5" i="7"/>
  <c r="L5" i="7"/>
  <c r="K5" i="7"/>
  <c r="J5" i="7"/>
  <c r="I5" i="7"/>
  <c r="H5" i="7"/>
  <c r="G5" i="7"/>
  <c r="F5" i="7"/>
  <c r="C5" i="7"/>
  <c r="B5" i="7"/>
  <c r="P4" i="7"/>
  <c r="O4" i="7"/>
  <c r="N4" i="7"/>
  <c r="M4" i="7"/>
  <c r="L4" i="7"/>
  <c r="K4" i="7"/>
  <c r="J4" i="7"/>
  <c r="I4" i="7"/>
  <c r="H4" i="7"/>
  <c r="G4" i="7"/>
  <c r="F4" i="7"/>
  <c r="E4" i="7"/>
  <c r="D4" i="7"/>
  <c r="C4" i="7"/>
  <c r="B4" i="7"/>
  <c r="P3" i="7"/>
  <c r="O3" i="7"/>
  <c r="N3" i="7"/>
  <c r="M3" i="7"/>
  <c r="L3" i="7"/>
  <c r="K3" i="7"/>
  <c r="J3" i="7"/>
  <c r="I3" i="7"/>
  <c r="H3" i="7"/>
  <c r="G3" i="7"/>
  <c r="F3" i="7"/>
  <c r="E3" i="7"/>
  <c r="D3" i="7"/>
  <c r="C3" i="7"/>
  <c r="B3" i="7"/>
  <c r="P2" i="7"/>
  <c r="O2" i="7"/>
  <c r="N2" i="7"/>
  <c r="M2" i="7"/>
  <c r="L2" i="7"/>
  <c r="K2" i="7"/>
  <c r="J2" i="7"/>
  <c r="I2" i="7"/>
  <c r="H2" i="7"/>
  <c r="G2" i="7"/>
  <c r="F2" i="7"/>
  <c r="D2" i="7"/>
  <c r="C2" i="7"/>
  <c r="B2" i="7"/>
  <c r="Q8" i="6"/>
  <c r="P8" i="6"/>
  <c r="O8" i="6"/>
  <c r="N8" i="6"/>
  <c r="M8" i="6"/>
  <c r="L8" i="6"/>
  <c r="K8" i="6"/>
  <c r="J8" i="6"/>
  <c r="I8" i="6"/>
  <c r="H8" i="6"/>
  <c r="C8" i="6"/>
  <c r="B8" i="6"/>
  <c r="Q7" i="6"/>
  <c r="P7" i="6"/>
  <c r="O7" i="6"/>
  <c r="N7" i="6"/>
  <c r="M7" i="6"/>
  <c r="L7" i="6"/>
  <c r="K7" i="6"/>
  <c r="J7" i="6"/>
  <c r="I7" i="6"/>
  <c r="H7" i="6"/>
  <c r="E7" i="6"/>
  <c r="D7" i="6"/>
  <c r="C7" i="6"/>
  <c r="B7" i="6"/>
  <c r="Q6" i="6"/>
  <c r="P6" i="6"/>
  <c r="O6" i="6"/>
  <c r="N6" i="6"/>
  <c r="M6" i="6"/>
  <c r="L6" i="6"/>
  <c r="K6" i="6"/>
  <c r="J6" i="6"/>
  <c r="I6" i="6"/>
  <c r="H6" i="6"/>
  <c r="C6" i="6"/>
  <c r="B6" i="6"/>
  <c r="Q5" i="6"/>
  <c r="P5" i="6"/>
  <c r="O5" i="6"/>
  <c r="N5" i="6"/>
  <c r="M5" i="6"/>
  <c r="L5" i="6"/>
  <c r="K5" i="6"/>
  <c r="J5" i="6"/>
  <c r="I5" i="6"/>
  <c r="H5" i="6"/>
  <c r="E5" i="6"/>
  <c r="D5" i="6"/>
  <c r="C5" i="6"/>
  <c r="B5" i="6"/>
  <c r="Q4" i="6"/>
  <c r="P4" i="6"/>
  <c r="O4" i="6"/>
  <c r="N4" i="6"/>
  <c r="M4" i="6"/>
  <c r="L4" i="6"/>
  <c r="K4" i="6"/>
  <c r="J4" i="6"/>
  <c r="I4" i="6"/>
  <c r="H4" i="6"/>
  <c r="C4" i="6"/>
  <c r="B4" i="6"/>
  <c r="Q3" i="6"/>
  <c r="P3" i="6"/>
  <c r="O3" i="6"/>
  <c r="N3" i="6"/>
  <c r="M3" i="6"/>
  <c r="L3" i="6"/>
  <c r="K3" i="6"/>
  <c r="J3" i="6"/>
  <c r="I3" i="6"/>
  <c r="H3" i="6"/>
  <c r="E3" i="6"/>
  <c r="D3" i="6"/>
  <c r="C3" i="6"/>
  <c r="B3" i="6"/>
  <c r="Q2" i="6"/>
  <c r="P2" i="6"/>
  <c r="O2" i="6"/>
  <c r="N2" i="6"/>
  <c r="M2" i="6"/>
  <c r="L2" i="6"/>
  <c r="K2" i="6"/>
  <c r="J2" i="6"/>
  <c r="I2" i="6"/>
  <c r="H2" i="6"/>
  <c r="C2" i="6"/>
  <c r="B2" i="6"/>
  <c r="D47" i="19"/>
  <c r="D46" i="19"/>
  <c r="E45" i="19"/>
  <c r="D45" i="19"/>
  <c r="E44" i="19"/>
  <c r="D44" i="19"/>
  <c r="H23" i="19"/>
  <c r="C23" i="9" s="1"/>
  <c r="G23" i="19"/>
  <c r="C16" i="16" s="1"/>
  <c r="F23" i="19"/>
  <c r="E23" i="19"/>
  <c r="N5" i="16" s="1"/>
  <c r="H18" i="19"/>
  <c r="G18" i="19"/>
  <c r="B27" i="16" s="1"/>
  <c r="F18" i="19"/>
  <c r="E18" i="19"/>
  <c r="J11" i="16" s="1"/>
  <c r="H17" i="19"/>
  <c r="G17" i="19"/>
  <c r="C25" i="10" s="1"/>
  <c r="F17" i="19"/>
  <c r="E17" i="19"/>
  <c r="B25" i="16" s="1"/>
  <c r="H16" i="19"/>
  <c r="G16" i="19"/>
  <c r="C17" i="10" s="1"/>
  <c r="F16" i="19"/>
  <c r="E16" i="19"/>
  <c r="B17" i="16" s="1"/>
  <c r="H15" i="19"/>
  <c r="E2" i="7" s="1"/>
  <c r="G15" i="19"/>
  <c r="G7" i="10" s="1"/>
  <c r="F15" i="19"/>
  <c r="E15" i="19"/>
  <c r="B6" i="16" s="1"/>
  <c r="G11" i="19"/>
  <c r="G8" i="6" s="1"/>
  <c r="F11" i="19"/>
  <c r="F8" i="6" s="1"/>
  <c r="E11" i="19"/>
  <c r="D11" i="9" s="1"/>
  <c r="D11" i="19"/>
  <c r="D8" i="6" s="1"/>
  <c r="G10" i="19"/>
  <c r="G7" i="6" s="1"/>
  <c r="F10" i="19"/>
  <c r="F7" i="6" s="1"/>
  <c r="E10" i="19"/>
  <c r="D10" i="19"/>
  <c r="J9" i="16" s="1"/>
  <c r="G9" i="19"/>
  <c r="D24" i="9" s="1"/>
  <c r="F9" i="19"/>
  <c r="F6" i="6" s="1"/>
  <c r="E9" i="19"/>
  <c r="D23" i="9" s="1"/>
  <c r="D9" i="19"/>
  <c r="B14" i="10" s="1"/>
  <c r="G8" i="19"/>
  <c r="C24" i="9" s="1"/>
  <c r="F8" i="19"/>
  <c r="G21" i="10" s="1"/>
  <c r="E8" i="19"/>
  <c r="D8" i="19"/>
  <c r="K15" i="10" s="1"/>
  <c r="G7" i="19"/>
  <c r="G4" i="6" s="1"/>
  <c r="F7" i="19"/>
  <c r="C15" i="10" s="1"/>
  <c r="E7" i="19"/>
  <c r="E4" i="6" s="1"/>
  <c r="D7" i="19"/>
  <c r="J9" i="10" s="1"/>
  <c r="G6" i="19"/>
  <c r="D7" i="9" s="1"/>
  <c r="F6" i="19"/>
  <c r="K8" i="16" s="1"/>
  <c r="E6" i="19"/>
  <c r="D6" i="9" s="1"/>
  <c r="D6" i="19"/>
  <c r="K6" i="16" s="1"/>
  <c r="G5" i="19"/>
  <c r="D3" i="9" s="1"/>
  <c r="F5" i="19"/>
  <c r="C5" i="16" s="1"/>
  <c r="E5" i="19"/>
  <c r="E2" i="6" s="1"/>
  <c r="D5" i="19"/>
  <c r="F5" i="10" s="1"/>
  <c r="F22" i="16"/>
  <c r="F21" i="16"/>
  <c r="F20" i="16"/>
  <c r="F19" i="16"/>
  <c r="F18" i="16"/>
  <c r="F17" i="16"/>
  <c r="F14" i="16"/>
  <c r="F13" i="16"/>
  <c r="F12" i="16"/>
  <c r="F9" i="16"/>
  <c r="F8" i="16"/>
  <c r="F7" i="16"/>
  <c r="F6" i="16"/>
  <c r="F5" i="16"/>
  <c r="N8" i="16" l="1"/>
  <c r="F2" i="6"/>
  <c r="F3" i="6"/>
  <c r="F4" i="6"/>
  <c r="D2" i="9"/>
  <c r="C11" i="10"/>
  <c r="G9" i="10"/>
  <c r="O11" i="16"/>
  <c r="G2" i="6"/>
  <c r="G3" i="6"/>
  <c r="G5" i="6"/>
  <c r="G6" i="6"/>
  <c r="C7" i="10"/>
  <c r="B11" i="10"/>
  <c r="B15" i="10"/>
  <c r="B19" i="10"/>
  <c r="B25" i="10"/>
  <c r="F8" i="10"/>
  <c r="F20" i="10"/>
  <c r="J6" i="10"/>
  <c r="J14" i="10"/>
  <c r="K8" i="10"/>
  <c r="C11" i="16"/>
  <c r="C15" i="16"/>
  <c r="C19" i="16"/>
  <c r="C25" i="16"/>
  <c r="J6" i="16"/>
  <c r="J14" i="16"/>
  <c r="K12" i="16"/>
  <c r="N10" i="16"/>
  <c r="B5" i="10"/>
  <c r="E6" i="6"/>
  <c r="J4" i="10"/>
  <c r="C18" i="16"/>
  <c r="F5" i="6"/>
  <c r="F19" i="10"/>
  <c r="N9" i="16"/>
  <c r="B7" i="10"/>
  <c r="C12" i="10"/>
  <c r="C16" i="10"/>
  <c r="C20" i="10"/>
  <c r="C26" i="10"/>
  <c r="F9" i="10"/>
  <c r="F21" i="10"/>
  <c r="J7" i="10"/>
  <c r="J15" i="10"/>
  <c r="L15" i="10"/>
  <c r="C7" i="16"/>
  <c r="B11" i="16"/>
  <c r="B15" i="16"/>
  <c r="B19" i="16"/>
  <c r="J7" i="16"/>
  <c r="K4" i="16"/>
  <c r="K13" i="16"/>
  <c r="N11" i="16"/>
  <c r="D2" i="6"/>
  <c r="D4" i="6"/>
  <c r="D6" i="6"/>
  <c r="E8" i="6"/>
  <c r="J4" i="16"/>
  <c r="C19" i="10"/>
  <c r="F7" i="10"/>
  <c r="K7" i="10"/>
  <c r="C6" i="16"/>
  <c r="B14" i="16"/>
  <c r="D5" i="7"/>
  <c r="C8" i="10"/>
  <c r="B12" i="10"/>
  <c r="B16" i="10"/>
  <c r="B20" i="10"/>
  <c r="B26" i="10"/>
  <c r="F12" i="10"/>
  <c r="F22" i="10"/>
  <c r="J8" i="10"/>
  <c r="J16" i="10"/>
  <c r="L16" i="10"/>
  <c r="B7" i="16"/>
  <c r="C12" i="16"/>
  <c r="C20" i="16"/>
  <c r="C26" i="16"/>
  <c r="J8" i="16"/>
  <c r="N4" i="16"/>
  <c r="B5" i="16"/>
  <c r="E5" i="7"/>
  <c r="B8" i="10"/>
  <c r="C13" i="10"/>
  <c r="C21" i="10"/>
  <c r="C27" i="10"/>
  <c r="F13" i="10"/>
  <c r="G5" i="10"/>
  <c r="J17" i="10"/>
  <c r="C8" i="16"/>
  <c r="B12" i="16"/>
  <c r="B16" i="16"/>
  <c r="B20" i="16"/>
  <c r="B26" i="16"/>
  <c r="J11" i="10"/>
  <c r="B9" i="16"/>
  <c r="B13" i="16"/>
  <c r="C24" i="12"/>
  <c r="B26" i="12" s="1"/>
  <c r="B23" i="12"/>
  <c r="B27" i="12" l="1"/>
</calcChain>
</file>

<file path=xl/sharedStrings.xml><?xml version="1.0" encoding="utf-8"?>
<sst xmlns="http://schemas.openxmlformats.org/spreadsheetml/2006/main" count="1741" uniqueCount="859">
  <si>
    <t>Date</t>
  </si>
  <si>
    <t>Claudio</t>
  </si>
  <si>
    <t>Claudeane</t>
  </si>
  <si>
    <t>São Paulo</t>
  </si>
  <si>
    <t>Free Palace Hotel</t>
  </si>
  <si>
    <t>N°</t>
  </si>
  <si>
    <t>Passager(s)</t>
  </si>
  <si>
    <t>Itinéraire</t>
  </si>
  <si>
    <t>Date Départ</t>
  </si>
  <si>
    <t>Heure Départ</t>
  </si>
  <si>
    <t>Date Arrivée</t>
  </si>
  <si>
    <t>Heure Arrivée</t>
  </si>
  <si>
    <t>Compagnie</t>
  </si>
  <si>
    <t>N° Vols</t>
  </si>
  <si>
    <t>Classe</t>
  </si>
  <si>
    <t>Réf. Réservation</t>
  </si>
  <si>
    <t>Bagage Cabine</t>
  </si>
  <si>
    <t>Bagage Soute</t>
  </si>
  <si>
    <t>Sièges</t>
  </si>
  <si>
    <t>Prix (CHF)</t>
  </si>
  <si>
    <t>Prix (BRL)</t>
  </si>
  <si>
    <t>Statut Paiement</t>
  </si>
  <si>
    <t>GVA → ZRH → GRU (São Paulo)</t>
  </si>
  <si>
    <t>27/04/2026</t>
  </si>
  <si>
    <t>28/04/2026</t>
  </si>
  <si>
    <t>SWISS</t>
  </si>
  <si>
    <t>LX2819 + LX92</t>
  </si>
  <si>
    <t>Economy Light (K)</t>
  </si>
  <si>
    <t>YS3VET</t>
  </si>
  <si>
    <t>1 main (8kg, 118lcm)</t>
  </si>
  <si>
    <t>Non sélectionnés</t>
  </si>
  <si>
    <t>✅ Payé - MC ****4753</t>
  </si>
  <si>
    <t>GVA → Lisbonne → FOR (Fortaleza)</t>
  </si>
  <si>
    <t>23/05/2026</t>
  </si>
  <si>
    <t>TAP Portugal</t>
  </si>
  <si>
    <t>TP941 + TP35</t>
  </si>
  <si>
    <t>Économique</t>
  </si>
  <si>
    <t>XR2CPW</t>
  </si>
  <si>
    <t>1 petit + 1 cabine (10kg)</t>
  </si>
  <si>
    <t>✅ Payé - Booking.com (A/R)</t>
  </si>
  <si>
    <t>FOR → Lisbonne → GVA (retour)</t>
  </si>
  <si>
    <t>TP36 + TP942</t>
  </si>
  <si>
    <t>10A (TP36) / 7E (TP942)</t>
  </si>
  <si>
    <t>XR85TH</t>
  </si>
  <si>
    <t>✅ 1 soute (23kg)</t>
  </si>
  <si>
    <t>10C (TP36) / 7F (TP942)</t>
  </si>
  <si>
    <t>✅ Payé - Booking.com</t>
  </si>
  <si>
    <t>Claudeane + Lucileide + Jhemerson</t>
  </si>
  <si>
    <t>MAB (Marabá) → BEL (Belém)</t>
  </si>
  <si>
    <t>25/05/2026</t>
  </si>
  <si>
    <t>Azul</t>
  </si>
  <si>
    <t>AD 4210</t>
  </si>
  <si>
    <t>-</t>
  </si>
  <si>
    <t>⚠️ EN ESPERA - 3 pax</t>
  </si>
  <si>
    <t>BEL (Belém) → FOR (Fortaleza)</t>
  </si>
  <si>
    <t>AD 4101</t>
  </si>
  <si>
    <t>Établissement</t>
  </si>
  <si>
    <t>Ville</t>
  </si>
  <si>
    <t>Check-in</t>
  </si>
  <si>
    <t>Check-out</t>
  </si>
  <si>
    <t>Nuits</t>
  </si>
  <si>
    <t>Voyageur(s)</t>
  </si>
  <si>
    <t>Chambre</t>
  </si>
  <si>
    <t>Petit-déj.</t>
  </si>
  <si>
    <t>Prix CHF</t>
  </si>
  <si>
    <t>Prix BRL</t>
  </si>
  <si>
    <t>Prépaiement</t>
  </si>
  <si>
    <t>Annulation gratuite jusqu'au</t>
  </si>
  <si>
    <t>Réf. Confirmation</t>
  </si>
  <si>
    <t>Parking</t>
  </si>
  <si>
    <t>WiFi</t>
  </si>
  <si>
    <t>27/04/2026 13:00</t>
  </si>
  <si>
    <t>30/04/2026 12:00</t>
  </si>
  <si>
    <t>Claudeane (+ fille)</t>
  </si>
  <si>
    <t>Lits Jumeaux Standard</t>
  </si>
  <si>
    <t>✅ OUI</t>
  </si>
  <si>
    <t>❌ NON requis</t>
  </si>
  <si>
    <t>24/04/2026</t>
  </si>
  <si>
    <t>R$ 35/jour</t>
  </si>
  <si>
    <t>Gratuit</t>
  </si>
  <si>
    <t>Maly Boutique Hotel</t>
  </si>
  <si>
    <t>Fortaleza (Praia do Futuro)</t>
  </si>
  <si>
    <t>23/05/2026 14:00</t>
  </si>
  <si>
    <t>25/05/2026 12:00</t>
  </si>
  <si>
    <t>Claudio (seul)</t>
  </si>
  <si>
    <t>Suite avec Balcon (vue jardin/piscine)</t>
  </si>
  <si>
    <t>✅ OUI - Prépaiement total</t>
  </si>
  <si>
    <t>17/05/2026</t>
  </si>
  <si>
    <t>Pas de parking</t>
  </si>
  <si>
    <t>Hotel Encontro do Sol</t>
  </si>
  <si>
    <t>Fortaleza (Meireles)</t>
  </si>
  <si>
    <t>25/05/2026 13:30</t>
  </si>
  <si>
    <t>27/05/2026 12:00</t>
  </si>
  <si>
    <t>Claudio + Claudeane + Lucileide + Jhemerson</t>
  </si>
  <si>
    <t>Quadruple Classique</t>
  </si>
  <si>
    <t>ASAS DEL MAR - SUITES</t>
  </si>
  <si>
    <t>Canoa Quebrada</t>
  </si>
  <si>
    <t>27/05/2026 14:00</t>
  </si>
  <si>
    <t>30/05/2026 12:00</t>
  </si>
  <si>
    <t>Quadruple - Vue sur Mer</t>
  </si>
  <si>
    <t>Non mentionné</t>
  </si>
  <si>
    <t>19/05/2026</t>
  </si>
  <si>
    <t>Gratuit (public)</t>
  </si>
  <si>
    <t>🚗 LOCATION VOITURE - LOCALIZA</t>
  </si>
  <si>
    <t>Référence</t>
  </si>
  <si>
    <t>MO49499YVQBC</t>
  </si>
  <si>
    <t>Véhicule</t>
  </si>
  <si>
    <t>SUV AUTOMATIQUE</t>
  </si>
  <si>
    <t>Durée</t>
  </si>
  <si>
    <t>13 jours</t>
  </si>
  <si>
    <t>Conducteur</t>
  </si>
  <si>
    <t>Claudio Stadelmann + Conducteur additionnel</t>
  </si>
  <si>
    <t>PRISE DU VÉHICULE</t>
  </si>
  <si>
    <t>23/05/2026 à 22h00</t>
  </si>
  <si>
    <t>Agence</t>
  </si>
  <si>
    <t>AEROPORTO INTERN - FORTALEZA</t>
  </si>
  <si>
    <t>Adresse</t>
  </si>
  <si>
    <t>AV SENADOR CARLOS JEREISSATI 21, SERRINHA, FORTALEZA, CE</t>
  </si>
  <si>
    <t>Horaires agence</t>
  </si>
  <si>
    <t>00:00 - 23:59 (24h/24)</t>
  </si>
  <si>
    <t>RETOUR DU VÉHICULE</t>
  </si>
  <si>
    <t>05/06/2026 à 18h00</t>
  </si>
  <si>
    <t>AEROPORTO INTERN - FORTALEZA (même agence)</t>
  </si>
  <si>
    <t>DÉTAIL DES COÛTS (BRL)</t>
  </si>
  <si>
    <t>Diárias (location)</t>
  </si>
  <si>
    <t>13 x R$ 110.95</t>
  </si>
  <si>
    <t>Neutraliza (carbone)</t>
  </si>
  <si>
    <t>13 x R$ 13.00</t>
  </si>
  <si>
    <t>Condutor Adicional</t>
  </si>
  <si>
    <t>13 x R$ 61.88</t>
  </si>
  <si>
    <t>Condutor Jovem</t>
  </si>
  <si>
    <t>13 x R$ 0.13</t>
  </si>
  <si>
    <t>Limpeza Garantida (-40%)</t>
  </si>
  <si>
    <t>1 x R$ 34.95</t>
  </si>
  <si>
    <t>Proteção Total Avarias</t>
  </si>
  <si>
    <t>13 x R$ 710.32</t>
  </si>
  <si>
    <t>Seguro de Terceiros</t>
  </si>
  <si>
    <t>13 x R$ 17.95</t>
  </si>
  <si>
    <t>Proteção do Carro</t>
  </si>
  <si>
    <t>13 x R$ 17.52</t>
  </si>
  <si>
    <t>Taxa de aluguel</t>
  </si>
  <si>
    <t>Taxe fixe</t>
  </si>
  <si>
    <t>TOTAL LOCATION</t>
  </si>
  <si>
    <t>Pré-autorisation</t>
  </si>
  <si>
    <t>R$ 2,500.00 (remboursée après clôture contrat)</t>
  </si>
  <si>
    <t>Statut paiement</t>
  </si>
  <si>
    <t>⚠️ À PAYER à la prise (pré-autorisation)</t>
  </si>
  <si>
    <t>Note</t>
  </si>
  <si>
    <t>Annulation gratuite &gt;48h avant. &lt;48h = 20% total. No-show = 30% total.</t>
  </si>
  <si>
    <t>Jour</t>
  </si>
  <si>
    <t>Lucileide + Jhemerson</t>
  </si>
  <si>
    <t>27/04</t>
  </si>
  <si>
    <t>Dim</t>
  </si>
  <si>
    <t>🏠 Genève</t>
  </si>
  <si>
    <t>—</t>
  </si>
  <si>
    <t>28/04</t>
  </si>
  <si>
    <t>Lun</t>
  </si>
  <si>
    <t>29/04</t>
  </si>
  <si>
    <t>Mar</t>
  </si>
  <si>
    <t>🏨 Free Palace Hotel, São Paulo</t>
  </si>
  <si>
    <t>Mer</t>
  </si>
  <si>
    <t>Jeu</t>
  </si>
  <si>
    <t>...</t>
  </si>
  <si>
    <t>📍 Ourilândia do Norte (chez eux)</t>
  </si>
  <si>
    <t>23/05</t>
  </si>
  <si>
    <t>Sam</t>
  </si>
  <si>
    <t>📍 Ourilândia do Norte</t>
  </si>
  <si>
    <t>Sam soir</t>
  </si>
  <si>
    <t>🏨 Maly Boutique Hotel, Fortaleza</t>
  </si>
  <si>
    <t>24/05</t>
  </si>
  <si>
    <t>⚠️ Ourilândia → Marabá? (transport manquant)</t>
  </si>
  <si>
    <t>⚠️ Ourilândia → Marabá?</t>
  </si>
  <si>
    <t>25/05</t>
  </si>
  <si>
    <t>✈️ MAB→BEL 14:50 / BEL→FOR 18:00 (arr 19:55)</t>
  </si>
  <si>
    <t>✈️ MAB→BEL→FOR (même vols)</t>
  </si>
  <si>
    <t>Lun soir</t>
  </si>
  <si>
    <t>🏨 Hotel Encontro do Sol, Fortaleza</t>
  </si>
  <si>
    <t>26/05</t>
  </si>
  <si>
    <t>27/05</t>
  </si>
  <si>
    <t>🚗 Fortaleza → Canoa Quebrada (ASAS DEL MAR)</t>
  </si>
  <si>
    <t>🚗 → ASAS DEL MAR, Canoa Quebrada</t>
  </si>
  <si>
    <t>🚗 → ASAS DEL MAR</t>
  </si>
  <si>
    <t>28/05</t>
  </si>
  <si>
    <t>🏖️ ASAS DEL MAR, Canoa Quebrada</t>
  </si>
  <si>
    <t>🏖️ ASAS DEL MAR</t>
  </si>
  <si>
    <t>29/05</t>
  </si>
  <si>
    <t>Ven</t>
  </si>
  <si>
    <t>30/05</t>
  </si>
  <si>
    <t>⚠️ Check-out ASAS → HÉBERGEMENT MANQUANT</t>
  </si>
  <si>
    <t>⚠️ HÉBERGEMENT MANQUANT</t>
  </si>
  <si>
    <t>31/05</t>
  </si>
  <si>
    <t>✈️ FOR→LIS→GVA 22:50</t>
  </si>
  <si>
    <t>📍 Arrivée GVA 17:30 🏠</t>
  </si>
  <si>
    <t>📅 TIMELINE GANTT - VOYAGE BRÉSIL 2026</t>
  </si>
  <si>
    <t>Étape</t>
  </si>
  <si>
    <t>CLAUDEANE</t>
  </si>
  <si>
    <t>Début</t>
  </si>
  <si>
    <t>Fin</t>
  </si>
  <si>
    <t>✈️ Vol GVA→São Paulo</t>
  </si>
  <si>
    <t>📍 Ourilândia do Norte (famille)</t>
  </si>
  <si>
    <t>~24/05</t>
  </si>
  <si>
    <t>✈️ MAB→BEL→FOR (avec sœur+neveu)</t>
  </si>
  <si>
    <t>✈️ Vol FOR→GVA</t>
  </si>
  <si>
    <t>CLAUDIO</t>
  </si>
  <si>
    <t>✈️ Vol GVA→Fortaleza</t>
  </si>
  <si>
    <t>🚗 Location Localiza (SUV, 13j)</t>
  </si>
  <si>
    <t>🚗 Retour Localiza + ✈️ Vol FOR→GVA</t>
  </si>
  <si>
    <t>LUCILEIDE + JHEMERSON</t>
  </si>
  <si>
    <t>✈️ MAB→BEL→FOR (avec Claudeane)</t>
  </si>
  <si>
    <t>💰 COÛTS PAR PERSONNE</t>
  </si>
  <si>
    <t>Catégorie</t>
  </si>
  <si>
    <t>Détail</t>
  </si>
  <si>
    <t>CHF</t>
  </si>
  <si>
    <t>BRL</t>
  </si>
  <si>
    <t>Payé?</t>
  </si>
  <si>
    <t>Notes</t>
  </si>
  <si>
    <t>Vol</t>
  </si>
  <si>
    <t>GVA→FOR A/R (TAP)</t>
  </si>
  <si>
    <t>Booking.com, réf XR2CPW</t>
  </si>
  <si>
    <t>Hôtel</t>
  </si>
  <si>
    <t>Maly Boutique, 2 nuits</t>
  </si>
  <si>
    <t>✅ Prépayé</t>
  </si>
  <si>
    <t>1 pers, suite balcon</t>
  </si>
  <si>
    <t>Encontro do Sol, 2 nuits (1/4)</t>
  </si>
  <si>
    <t>⚠️ 50%</t>
  </si>
  <si>
    <t>4 pers, part 1/4 = R$210</t>
  </si>
  <si>
    <t>ASAS DEL MAR, 3 nuits (1/4)</t>
  </si>
  <si>
    <t>4 pers, part 1/4 = R$492</t>
  </si>
  <si>
    <t>Voiture</t>
  </si>
  <si>
    <t>Localiza SUV 13 jours</t>
  </si>
  <si>
    <t>❌ À payer</t>
  </si>
  <si>
    <t>Pré-auth R$2500 à la prise</t>
  </si>
  <si>
    <t>SOUS-TOTAL CLAUDIO</t>
  </si>
  <si>
    <t>GVA→GRU (SWISS aller)</t>
  </si>
  <si>
    <t>MC ****4753, réf YS3VET</t>
  </si>
  <si>
    <t>FOR→GVA (TAP retour)</t>
  </si>
  <si>
    <t>Booking.com, réf XR85TH</t>
  </si>
  <si>
    <t>MAB→BEL→FOR (Azul, 1/3)</t>
  </si>
  <si>
    <t>⚠️ En espera</t>
  </si>
  <si>
    <t>Free Palace São Paulo (1/2)</t>
  </si>
  <si>
    <t>❌ Non payé</t>
  </si>
  <si>
    <t>2 pers, part 1/2</t>
  </si>
  <si>
    <t>Encontro do Sol (1/4)</t>
  </si>
  <si>
    <t>4 pers, part 1/4</t>
  </si>
  <si>
    <t>ASAS DEL MAR (1/4)</t>
  </si>
  <si>
    <t>SOUS-TOTAL CLAUDEANE</t>
  </si>
  <si>
    <t>💰 BUDGET TOTAL - VOYAGE BRÉSIL 2026</t>
  </si>
  <si>
    <t>Montant CHF</t>
  </si>
  <si>
    <t>Montant BRL</t>
  </si>
  <si>
    <t>Statut</t>
  </si>
  <si>
    <t>VOLS INTERNATIONAUX</t>
  </si>
  <si>
    <t>Claudeane: GVA→GRU (SWISS)</t>
  </si>
  <si>
    <t>✅ Payé</t>
  </si>
  <si>
    <t>Claudio: GVA→FOR A/R (TAP)</t>
  </si>
  <si>
    <t>Claudeane: FOR→GVA (TAP)</t>
  </si>
  <si>
    <t>VOLS DOMESTIQUES BRÉSIL</t>
  </si>
  <si>
    <t>HÉBERGEMENTS</t>
  </si>
  <si>
    <t>Free Palace Hotel (3 nuits)</t>
  </si>
  <si>
    <t>Maly Boutique Hotel (2 nuits)</t>
  </si>
  <si>
    <t>Hotel Encontro do Sol (2 nuits)</t>
  </si>
  <si>
    <t>⚠️ 50% prépayé</t>
  </si>
  <si>
    <t>ASAS DEL MAR (3 nuits)</t>
  </si>
  <si>
    <t>LOCATION VOITURE</t>
  </si>
  <si>
    <t>TOTAUX</t>
  </si>
  <si>
    <t>Total CHF direct</t>
  </si>
  <si>
    <t>Total BRL</t>
  </si>
  <si>
    <t>Taux de change estimé (1 CHF = x BRL)</t>
  </si>
  <si>
    <t>← Modifier ce taux si besoin</t>
  </si>
  <si>
    <t>Total BRL converti en CHF</t>
  </si>
  <si>
    <t>💰 GRAND TOTAL ESTIMÉ (CHF)</t>
  </si>
  <si>
    <t>⚠️ TROUS &amp; ALERTES IDENTIFIÉS</t>
  </si>
  <si>
    <t>Priorité</t>
  </si>
  <si>
    <t>Alerte</t>
  </si>
  <si>
    <t>Concerne</t>
  </si>
  <si>
    <t>Action requise</t>
  </si>
  <si>
    <t>🔴 URGENT</t>
  </si>
  <si>
    <t>TOUS (4 pers)</t>
  </si>
  <si>
    <t>Vols Azul EN ESPERA (MAB→BEL + BEL→FOR)</t>
  </si>
  <si>
    <t>Vérifier statut confirmation. Bagages et sièges = 0!</t>
  </si>
  <si>
    <t>🟠 ATTENTION</t>
  </si>
  <si>
    <t>Claudeane: 0 BAGAGE SOUTE GVA→GRU (SWISS Economy Light)</t>
  </si>
  <si>
    <t>Acheter franchise bagage soute SWISS ou voyager ultra-léger. Tarif Light = 0 bagage!</t>
  </si>
  <si>
    <t>Claudio: 0 BAGAGE SOUTE (TAP aller ET retour)</t>
  </si>
  <si>
    <t>Acheter franchise bagage soute TAP ou vérifier si inclus. Confirmation dit AUCUN.</t>
  </si>
  <si>
    <t>Azul: Bagages ET sièges = 0 pour les 3 passagers</t>
  </si>
  <si>
    <t>Sélectionner bagages et sièges sur app Azul ou site.</t>
  </si>
  <si>
    <t>🟡 INFO</t>
  </si>
  <si>
    <t>Hotel Encontro do Sol: 50% prépaiement par virement bancaire</t>
  </si>
  <si>
    <t>Contacter hôtel pour infos virement + communiquer heure arrivée.</t>
  </si>
  <si>
    <t>Claudio: Sièges non sélectionnés sur vol ALLER (TAP GVA→FOR)</t>
  </si>
  <si>
    <t>Sélectionner sièges TAP aller (TP941 + TP35). Retour OK: 10A/7E.</t>
  </si>
  <si>
    <t>Claudeane: Sièges non sélectionnés GVA→GRU (SWISS)</t>
  </si>
  <si>
    <t>Sélectionner sièges SWISS LX2819 + LX92.</t>
  </si>
  <si>
    <t>✅ CHECKLIST DOCUMENTS VOYAGE</t>
  </si>
  <si>
    <t>☐ Fait?</t>
  </si>
  <si>
    <t>Voyageur</t>
  </si>
  <si>
    <t>Document / Action</t>
  </si>
  <si>
    <t>Détails</t>
  </si>
  <si>
    <t>Date limite</t>
  </si>
  <si>
    <t>DOCUMENTS</t>
  </si>
  <si>
    <t>☐</t>
  </si>
  <si>
    <t>Passeport valide</t>
  </si>
  <si>
    <t>Vérifier validité &gt; 6 mois après retour (06/06/2026)</t>
  </si>
  <si>
    <t>Avant départ</t>
  </si>
  <si>
    <t>Passeport + titre de séjour CH</t>
  </si>
  <si>
    <t>Brésilienne - vérifier titre de séjour CH valide au retour</t>
  </si>
  <si>
    <t>Tous</t>
  </si>
  <si>
    <t>Copies documents (numérique)</t>
  </si>
  <si>
    <t>Photos passeports, billets, confirmations dans téléphone + cloud</t>
  </si>
  <si>
    <t>VOLS</t>
  </si>
  <si>
    <t>Check-in SWISS LX2819+LX92</t>
  </si>
  <si>
    <t>Réf YS3VET - Heure limite enregistrement: 19:20 (GVA T1)</t>
  </si>
  <si>
    <t>24h avant 27/04</t>
  </si>
  <si>
    <t>⚠️ Acheter bagage soute SWISS!</t>
  </si>
  <si>
    <t>Economy Light = 0 bagage soute! Acheter en ligne SWISS.com</t>
  </si>
  <si>
    <t>DÈS QUE POSSIBLE</t>
  </si>
  <si>
    <t>Check-in TAP TP941+TP35</t>
  </si>
  <si>
    <t>Réf XR2CPW - Sélectionner sièges aller</t>
  </si>
  <si>
    <t>24h avant 23/05</t>
  </si>
  <si>
    <t>⚠️ Vérifier bagage soute TAP</t>
  </si>
  <si>
    <t>Confirmation dit 0 soute. Vérifier/acheter sur TAP.</t>
  </si>
  <si>
    <t>Claud./Lucil./Jhem.</t>
  </si>
  <si>
    <t>⚠️ Confirmer vols Azul (EN ESPERA)</t>
  </si>
  <si>
    <t>URGENT!</t>
  </si>
  <si>
    <t>TRANSPORT</t>
  </si>
  <si>
    <t>⚠️ Transport Ourilândia → Marabá</t>
  </si>
  <si>
    <t>Accès aéroport MAB pour vol Azul du 25/05</t>
  </si>
  <si>
    <t>Avant 25/05</t>
  </si>
  <si>
    <t>Télécharger app Localiza (FAST)</t>
  </si>
  <si>
    <t>Retirada Digital sans passer par le comptoir</t>
  </si>
  <si>
    <t>Avant 23/05</t>
  </si>
  <si>
    <t>📞 CONTACTS &amp; ADRESSES UTILES</t>
  </si>
  <si>
    <t>Organisme / Hôtel</t>
  </si>
  <si>
    <t>Téléphone</t>
  </si>
  <si>
    <t>COMPAGNIES AÉRIENNES</t>
  </si>
  <si>
    <t>SWISS Service Center</t>
  </si>
  <si>
    <t>+41 (0) 848 700 700</t>
  </si>
  <si>
    <t>swiss.com/webcheckin</t>
  </si>
  <si>
    <t>Réf YS3VET (Claudeane)</t>
  </si>
  <si>
    <t>flytap.com</t>
  </si>
  <si>
    <t>Réf XR2CPW (Claudio) / XR85TH (Claudeane)</t>
  </si>
  <si>
    <t>Azul Linhas Aéreas</t>
  </si>
  <si>
    <t>4003-1118 (BR) / 0800 887 1118</t>
  </si>
  <si>
    <t>voeazul.com.br</t>
  </si>
  <si>
    <t>Booking.com (assistance FR)</t>
  </si>
  <si>
    <t>0445 111 635</t>
  </si>
  <si>
    <t>your.booking.com</t>
  </si>
  <si>
    <t>Depuis étranger: +33 1 57 32 92 09</t>
  </si>
  <si>
    <t>HÔTELS</t>
  </si>
  <si>
    <t>Free Palace Hotel (São Paulo)</t>
  </si>
  <si>
    <t>+55 11 3271 8596</t>
  </si>
  <si>
    <t>RUA TAMANDARE 246, Liberdade, São Paulo, CEP 01525-000</t>
  </si>
  <si>
    <t>GPS: S 023° 33.693, W 46° 37.977</t>
  </si>
  <si>
    <t>Maly Boutique Hotel (Fortaleza)</t>
  </si>
  <si>
    <t>+55 85 99111 0568</t>
  </si>
  <si>
    <t>Av. Clóvis Arrais Maia 2790, Praia do Futuro I, CEP 60183-692</t>
  </si>
  <si>
    <t>GPS: S 003° 43.880, W 38° 27.466</t>
  </si>
  <si>
    <t>Hotel Encontro do Sol (Fortaleza)</t>
  </si>
  <si>
    <t>+55 85 3031 6222</t>
  </si>
  <si>
    <t>Rua Monsenhor Bruno 122, Meireles, CEP 60155190</t>
  </si>
  <si>
    <t>GPS: S 003° 43.418, W 38° 30.401</t>
  </si>
  <si>
    <t>ASAS DEL MAR (Canoa Quebrada)</t>
  </si>
  <si>
    <t>+55 85 99856 8461</t>
  </si>
  <si>
    <t>DT SITIO ESTEVAO CANOA QUEBRADA, Nº 3207, CEP 62800-000</t>
  </si>
  <si>
    <t>GPS: S 004° 31.671, W 37° 41.874</t>
  </si>
  <si>
    <t>Localiza Rent a Car</t>
  </si>
  <si>
    <t>App Localiza (FAST)</t>
  </si>
  <si>
    <t>Réf MO49499YVQBC - Agence aéroport 24h/24</t>
  </si>
  <si>
    <t>URGENCES BRÉSIL</t>
  </si>
  <si>
    <t>Police (Polícia Militar)</t>
  </si>
  <si>
    <t>SAMU (ambulance)</t>
  </si>
  <si>
    <t>Pompiers (Bombeiros)</t>
  </si>
  <si>
    <t>Ambassade/Consulat Suisse</t>
  </si>
  <si>
    <t>+55 61 3443 5500</t>
  </si>
  <si>
    <t>Brasília</t>
  </si>
  <si>
    <t>Claudio: +41762470577</t>
  </si>
  <si>
    <t>Turn #</t>
  </si>
  <si>
    <t>User Request</t>
  </si>
  <si>
    <t>Action Taken</t>
  </si>
  <si>
    <t>Details</t>
  </si>
  <si>
    <t>Outcome</t>
  </si>
  <si>
    <t>Organiser un tableau professionnel complet du voyage Brésil avec: logistique vols, hébergements, timeline Gantt, coûts par personne, budget CHF+BRL, checklist documents, contacts, et identification des trous (hébergement manquant etc.)</t>
  </si>
  <si>
    <t>Extrait données de 11 PDFs (vols SWISS/TAP/Azul, hôtels Booking, location Localiza). Créé 11 feuilles: Logistique Vols, Hébergements, Location Voiture, Where by Date, Timeline Gantt, Coûts par Personne, Budget Total, Trous &amp; Alertes, Checklist Voyage, Contacts &amp; Adresses, Claude Log.</t>
  </si>
  <si>
    <t>6 vols, 4 hôtels, 1 location voiture. Taux change 6.7 BRL/CHF. Formules SUM pour totaux. Budget total estimé ~CHF 3,736. Identifié 11 alertes dont 5 urgentes: 6 nuits hébergement manquant 30/05-05/06, transport SP→Ourilândia manquant, vols Azul en espera, 0 bagage soute SWISS/TAP.</t>
  </si>
  <si>
    <t>Classeur complet livré. En attente des informations supplémentaires de l'utilisateur (prochain message). Trous identifiés en rouge. ⚠️ 6 nuits sans hébergement entre Canoa Quebrada et vol retour.</t>
  </si>
  <si>
    <t>Durée (jours)</t>
  </si>
  <si>
    <t>✈ MAB→BEL→FOR</t>
  </si>
  <si>
    <t>TOUS</t>
  </si>
  <si>
    <t>✈ FOR→GVA retour</t>
  </si>
  <si>
    <t>VCP (São Paulo) → BEL → Ourilândia do Norte</t>
  </si>
  <si>
    <t>Azul (via Trip.com)</t>
  </si>
  <si>
    <t>AD2954 + AD5108</t>
  </si>
  <si>
    <t>Economy</t>
  </si>
  <si>
    <t>TNG1NT / AKE4YZ</t>
  </si>
  <si>
    <t>⚠️ En Espera (Trip.com)</t>
  </si>
  <si>
    <t>MJ5NQC</t>
  </si>
  <si>
    <t>0 (non sélectionné)</t>
  </si>
  <si>
    <t>11D / 11E / 11F</t>
  </si>
  <si>
    <t>ON3LQT</t>
  </si>
  <si>
    <t>11A / 11B / 11C</t>
  </si>
  <si>
    <t>30/04-06/05</t>
  </si>
  <si>
    <t>📍 Chez la fille à São Paulo (~1 semaine)</t>
  </si>
  <si>
    <t>09/05-22/05</t>
  </si>
  <si>
    <t>📍 Ourilândia do Norte (chez famille, ~2 sem)</t>
  </si>
  <si>
    <t>Vols Azul EN ESPERA (MAB→BEL MJ5NQC + BEL→FOR ON3LQT)</t>
  </si>
  <si>
    <t>Nouvelles réservations (anciennes LI2NWF/ZLT7RZ non débitées). Vérifier confirmation. Bagages = 0!</t>
  </si>
  <si>
    <t>✅ RÉSOLU</t>
  </si>
  <si>
    <t>Transport São Paulo → Ourilândia do Norte → BILLET TROUVÉ</t>
  </si>
  <si>
    <t>Azul AD2954+AD5108 le 07-08/05, réf TNG1NT/AKE4YZ (Trip.com). 1 soute 23kg inclus ✅</t>
  </si>
  <si>
    <t>VCP→BEL→Ourilândia (Azul/Trip.com)</t>
  </si>
  <si>
    <t>Réf TNG1NT/AKE4YZ, prix non précisé dans docs</t>
  </si>
  <si>
    <t>NOUVEAU: R$(1300.17+799.14)/3 = R$699.77. Réf MJ5NQC + ON3LQT</t>
  </si>
  <si>
    <t>Claudeane: VCP→BEL→Ourilândia (Azul/Trip.com)</t>
  </si>
  <si>
    <t>⚠️ En espera (prix non dans docs)</t>
  </si>
  <si>
    <t>3 pax: MAB→BEL (Azul) - NOUVEAU MJ5NQC</t>
  </si>
  <si>
    <t>3 pax: BEL→FOR (Azul) - NOUVEAU ON3LQT</t>
  </si>
  <si>
    <t>Durée (j)</t>
  </si>
  <si>
    <t>NOUVEAU: MJ5NQC (MAB→BEL) + ON3LQT (BEL→FOR). Sièges OK (11D/E/F + 11A/B/C). Bagages = 0!</t>
  </si>
  <si>
    <t>Réf MJ5NQC (MAB→BEL) + ON3LQT (BEL→FOR) + TNG1NT/AKE4YZ (SP→Ouril.)</t>
  </si>
  <si>
    <t>📍 Chez fille São Paulo</t>
  </si>
  <si>
    <t>✈️ VCP→BEL→Ourilândia (AD2954+5108)</t>
  </si>
  <si>
    <t>Mettre à jour les billets: 1) Nouveau vol SP→Ourilândia (Itinéraire.pdf), 2) Nouveaux vols Azul MAB→BEL (MJ5NQC) et BEL→FOR (ON3LQT) remplacent anciens non débités. 3) Mettre des dates au lieu de jours sur le Gantt.</t>
  </si>
  <si>
    <t>Extrait 3 nouveaux PDFs. Ajouté vol VCP→BEL→Ourilândia (Azul AD2954+AD5108, 07-08/05, réf TNG1NT/AKE4YZ). Mis à jour vols Azul: LI2NWF→MJ5NQC (R$1300.17) et ZLT7RZ→ON3LQT (R$799.14). Sièges maintenant sélectionnés. Refait le Gantt avec dates réelles.</t>
  </si>
  <si>
    <t>Feuilles mises à jour: Logistique Vols (7 lignes), Budget Total (+63.09 BRL), Coûts par Personne, Trous&amp;Alertes (SP→Ourilândia marqué RÉSOLU), Timeline, Checklist, Contacts. Gantt: axe horizontal en jours avec échelle dates (J0=27/04 → J42=09/06).</t>
  </si>
  <si>
    <t>7 vols au total. Budget total mis à jour: CHF ~3,746. Alerte SP→Ourilândia résolue. Restent: 6 nuits manquantes 30/05-05/06, retour Lucileide+Jhemerson, bagages Azul=0.</t>
  </si>
  <si>
    <t>✈ Vol GVA→São Paulo</t>
  </si>
  <si>
    <t>🏨 Free Palace SP (3n)</t>
  </si>
  <si>
    <t>✈ Vol VCP→Ourilândia</t>
  </si>
  <si>
    <t>📍 Ourilândia (famille)</t>
  </si>
  <si>
    <t>✈ Vol GVA→Fortaleza</t>
  </si>
  <si>
    <t>🚗 Localiza SUV (13j)</t>
  </si>
  <si>
    <t>🏨 Maly Boutique (2n)</t>
  </si>
  <si>
    <t>ENSEMBLE (4 pers)</t>
  </si>
  <si>
    <t>✈ MAB→BEL→FOR (3 pax)</t>
  </si>
  <si>
    <t>🏨 Encontro Sol (2n)</t>
  </si>
  <si>
    <t>🏖 ASAS Canoa Q. (3n)</t>
  </si>
  <si>
    <t>⚠ TROU HÉBERG. (6n!)</t>
  </si>
  <si>
    <t>✈ Vol FOR→GVA retour</t>
  </si>
  <si>
    <t>🚌 Lucil.+Jhem. retour bus</t>
  </si>
  <si>
    <t>Retour Lucileide + Jhemerson: retour en BUS après le 06/06</t>
  </si>
  <si>
    <t>Gèrent leur propre logistique retour en bus. Pas besoin de billet avion.</t>
  </si>
  <si>
    <t>🚌 Retour en bus (leur logistique)</t>
  </si>
  <si>
    <t>🚌 En route retour bus</t>
  </si>
  <si>
    <t>~06/06</t>
  </si>
  <si>
    <t>~09/06</t>
  </si>
  <si>
    <t>1) Lucileide+Jhemerson rentrent en bus après 06/06 (leur logistique). 2) Gantt: ajouter partie Claudio (dès 23/05). 3) Gantt: remplacer axe 0-42 par vraies dates dd/mm. 4) Afficher durée sur les barres.</t>
  </si>
  <si>
    <t>Refait entièrement le Gantt avec 3 sections: CLAUDEANE (27/04→), CLAUDIO (23/05→), ENSEMBLE (25/05→). Axe horizontal en dates dd/mm (27/04 au 10/06, pas hebdomadaires). Data labels durée en blanc sur barres. Lucileide+Jhemerson marqués retour bus ~06-09/06.</t>
  </si>
  <si>
    <t>Chart source: I3:K17 avec 14 étapes. Axe min=46139 (27/04), max=46182 (10/06), majorUnit=7j, numberFormat=dd/mm. Série 1 (début) transparente, série 2 (durée) bleue #2E75B6 avec labels blancs. Alerte retour Lucileide+Jhemerson marquée RÉSOLU.</t>
  </si>
  <si>
    <t>Gantt complet avec dates + 3 sections. Alertes réduites à 3 ouvertes: 6 nuits manquantes, bagages Azul=0, vols Azul en espera.</t>
  </si>
  <si>
    <t>📍 Chez fille SP</t>
  </si>
  <si>
    <t>✈ VCP→Ourilândia</t>
  </si>
  <si>
    <t>Gantt bicolore: 2 barres de couleurs différentes à partir du 23/05 (rose pour Claudeane, bleu pour Claudio). Quand ensemble, les 2 barres apparaissent.</t>
  </si>
  <si>
    <t>Refait le Gantt avec 3 séries stackées: Début (invisible), Claudeane (#E74C8B rose), Claudio (#2E75B6 bleu). Quand les deux voyagent ensemble (Encontro Sol, ASAS, TROU, retour), les 2 barres colorées s'empilent. Labels durée en blanc, zéros masqués.</t>
  </si>
  <si>
    <t>Source: I3:L17 (14 étapes). Axe dates dd/MM 27/04→10/06. Légende: Claudeane + Claudio (Début masqué). Format labels: '#;#;""' pour masquer 0. Lucileide+Jhemerson bus ajouté en dernière ligne.</t>
  </si>
  <si>
    <t>Gantt bicolore fonctionnel. On voit clairement qui voyage quand, et quand ils sont ensemble (barres empilées rose+bleu).</t>
  </si>
  <si>
    <t>🚌 Luc.+Jh. bus</t>
  </si>
  <si>
    <t>Gantt bicolore: barres l'une SUR l'autre (pas côte à côte empilées). Chaque étape partagée = 2 lignes distinctes dans le chart.</t>
  </si>
  <si>
    <t>Refait le Gantt avec 18 lignes: étapes solo = 1 ligne, étapes partagées (Encontro Sol, ASAS, TROU, retour) = 2 lignes séparées [Cd] et [Cl]. Chart 580x880px. Légende Claudeane rose + Claudio bleu.</t>
  </si>
  <si>
    <t>Source I3:L21. Séries: Début (transparent), Claudeane (#E74C8B), Claudio (#2E75B6). Labels durée blancs, 0 masqués. Axe dates dd/MM 27/04→10/06.</t>
  </si>
  <si>
    <t>Gantt clair: barres roses et bleues sur lignes séparées. Visuellement, on voit qui est où et quand les deux se retrouvent.</t>
  </si>
  <si>
    <t>Rapprocher les barres Claudeane/Claudio quand même étape (l'une sur l'autre, pas espacées).</t>
  </si>
  <si>
    <t>Réduit gapWidth à 0% sur le chart barStacked. Les barres sont maintenant au maximum de largeur et les lignes adjacentes (même étape [Cd]/[Cl]) se touchent.</t>
  </si>
  <si>
    <t>series.items[0].gapWidth = 0. Pas de paramètre overlap nécessaire car c'est entre catégories (pas entre séries dans une catégorie).</t>
  </si>
  <si>
    <t>Barres Claudeane et Claudio collées l'une à l'autre pour les étapes partagées. Visuellement beaucoup plus clair.</t>
  </si>
  <si>
    <t>✈ GVA→SP</t>
  </si>
  <si>
    <t>🏨 Free Palace (3n)</t>
  </si>
  <si>
    <t>✈ GVA→FOR</t>
  </si>
  <si>
    <t>🏖 ASAS Canoa (3n)</t>
  </si>
  <si>
    <t>📍 Ourilândia (17j)</t>
  </si>
  <si>
    <t>⚠ TROU 6n!</t>
  </si>
  <si>
    <t>✈ FOR→GVA</t>
  </si>
  <si>
    <t>🚗 Retour Localiza</t>
  </si>
  <si>
    <t>Utilisateur pas satisfait du Gantt mais demande de ne plus y toucher.</t>
  </si>
  <si>
    <t>Aucune modification. Gantt laissé en l'état (2 swim lanes séparées Claudeane/Claudio).</t>
  </si>
  <si>
    <t>Limitation Excel: impossible d'avoir dans un seul chart barStacked des barres groupées (et non empilées) pour les étapes partagées tout en gardant l'offset invisible pour le début des dates. Le format idéal nécessiterait un outil de visualisation externe (ex: Google Sheets timeline, ou un vrai diagramme de Gantt).</t>
  </si>
  <si>
    <t>Gantt non modifié. Le reste du classeur (vols, hébergements, budget, alertes, checklist, contacts) est complet et fonctionnel.</t>
  </si>
  <si>
    <t>User wants a detailed description of every sheet (data + structure) to recreate the spreadsheet as an HTML page hosted via Git for sharing with other travelers.</t>
  </si>
  <si>
    <t>Read all 12 sheets exhaustively, compiled complete Markdown documentation</t>
  </si>
  <si>
    <t>Exported Description_Complete_Classeur_Bresil_2026.md (424 lines, ~24KB). Covers all 12 sheets: Logistique Vols (7 flights), Hébergements (4 hotels), Location Voiture (Localiza SUV), Where by Date (23 daily entries), Timeline Gantt (2 versions with 3 charts), Coûts par Personne (Claudio + Claudeane), Budget Total (formulas + grand total), Trous &amp; Alertes (11 alerts), Checklist (16 items), Contacts (20+ entries). Includes meta-info: color palette (#1F4E79, #2E75B6, #E74C8B), typography, exchange rate, traveler profiles.</t>
  </si>
  <si>
    <t>Complete MD file exported. User can use this as data source for HTML/Git page reconstruction.</t>
  </si>
  <si>
    <t>User couldn't find the exported .md file</t>
  </si>
  <si>
    <t>Re-exported the MD file and explained where to find it</t>
  </si>
  <si>
    <t>File re-exported via bash OUTPUT_DIR. Offered to put content directly in Excel sheet if download still not visible.</t>
  </si>
  <si>
    <t>Awaiting user confirmation they found the file.</t>
  </si>
  <si>
    <t>Nom</t>
  </si>
  <si>
    <t>Rôle</t>
  </si>
  <si>
    <t>Voyageur principal 👔</t>
  </si>
  <si>
    <t>Épouse (brésilienne) 🎀</t>
  </si>
  <si>
    <t>Lucileide</t>
  </si>
  <si>
    <t>Sœur de Claudeane</t>
  </si>
  <si>
    <t>Jhemerson</t>
  </si>
  <si>
    <t>Neveu</t>
  </si>
  <si>
    <t>Taux de change</t>
  </si>
  <si>
    <t>1 CHF = 6.7 BRL</t>
  </si>
  <si>
    <t>Code Hex</t>
  </si>
  <si>
    <t>Usage</t>
  </si>
  <si>
    <t>#1F4E79</t>
  </si>
  <si>
    <t>#2E75B6</t>
  </si>
  <si>
    <t>#E74C8B</t>
  </si>
  <si>
    <t>#FFC7CE</t>
  </si>
  <si>
    <t>Fond alertes urgentes</t>
  </si>
  <si>
    <t>Annulation gratuite</t>
  </si>
  <si>
    <t>Calcul</t>
  </si>
  <si>
    <t>13 × R$ 110.95</t>
  </si>
  <si>
    <t>13 × R$ 13.00</t>
  </si>
  <si>
    <t>13 × R$ 61.88</t>
  </si>
  <si>
    <t>13 × R$ 0.13</t>
  </si>
  <si>
    <t>1 × R$ 34.95</t>
  </si>
  <si>
    <t>13 × R$ 710.32</t>
  </si>
  <si>
    <t>13 × R$ 17.95</t>
  </si>
  <si>
    <t>13 × R$ 17.52</t>
  </si>
  <si>
    <t>Annulation gratuite &gt;48h. &lt;48h = 20%. No-show = 30%.</t>
  </si>
  <si>
    <t>Réf TNG1NT/AKE4YZ</t>
  </si>
  <si>
    <t>Adresse / Web</t>
  </si>
  <si>
    <t>Claudio (personnel)</t>
  </si>
  <si>
    <t>User couldn't find MD download. Asked to put description in a new sheet instead.</t>
  </si>
  <si>
    <t>Created '📄 Description HTML' sheet (sheetId 17) with 283 rows of complete data</t>
  </si>
  <si>
    <t>All 10 onglets documented row-by-row with exact data values, including user's recent changes (C16=311.80 CHF for VCP→Ourilândia, updated sous-total Claudeane=1310.35 CHF, checklist modifications). Includes: meta-info (voyageurs, devises, palette couleurs, typo), 7 vols, 4 hôtels, location voiture détaillée, Where by Date 23 entrées, Gantt 3 charts + étapes, coûts par personne, budget total avec formules, 11 alertes, checklist 14 items, 20+ contacts. Formatted with color-coded sections matching original spreadsheet.</t>
  </si>
  <si>
    <t>Sheet '📄 Description HTML' ready. User can copy all data for HTML/Git reconstruction.</t>
  </si>
  <si>
    <t>07/05</t>
  </si>
  <si>
    <t>08/05</t>
  </si>
  <si>
    <t>01/06</t>
  </si>
  <si>
    <t>02/06</t>
  </si>
  <si>
    <t>03/06</t>
  </si>
  <si>
    <t>04/06</t>
  </si>
  <si>
    <t>05/06</t>
  </si>
  <si>
    <t>06/06</t>
  </si>
  <si>
    <t>✈️ BEL→Ourilândia (arr 09:45)</t>
  </si>
  <si>
    <t>C11</t>
  </si>
  <si>
    <t>🏨 Encontro do Sol, Fortaleza</t>
  </si>
  <si>
    <t>User asked to fix dates (especially VCP→BEL was wrong) and make sheets dynamic so changes propagate automatically.</t>
  </si>
  <si>
    <t>Fixed 4 wrong dates in Logistique Vols, 8 serial numbers in Where by Date, added 16+ inter-sheet formulas</t>
  </si>
  <si>
    <t>DATES FIXED: D3 (46208→46149 = 07/05), F3 (46239→46150 = 08/05), D5/D6 (46148→46178 = 05/06). Applied dd/MM/yyyy format to all date columns. Fixed A6,A7,A19-A24 serial numbers in Where by Date. FORMULAS ADDED: D2,D3,D4,D6,D7,D11 reference '📋 Logistique Vols' for flight info. C9-C16,C11 reference '🏨 Hébergements' for hotel names. C23-D24 reference return flight times. Now changing a hotel name or flight time in source sheets auto-updates Where by Date.</t>
  </si>
  <si>
    <t>All dates corrected. Where by Date now dynamically linked to Logistique Vols and Hébergements. Description HTML also updated.</t>
  </si>
  <si>
    <t>User asked if all sheets are linked and have consistent data.</t>
  </si>
  <si>
    <t>Full cross-sheet audit via Python: dates, prices, totals, formulas</t>
  </si>
  <si>
    <t>AUDIT RESULT: All data consistent across sheets (dates, prices, totals all match). Where by Date has 16+ dynamic formulas linking to source sheets. Gantt dates correct but static (=DATE()). Budget/Costs prices static but accurate. Offered to add remaining price formulas to Budget/Costs sheets.</t>
  </si>
  <si>
    <t>Data 100% consistent. Some sheets still use static values instead of formulas. Awaiting user decision on adding more cross-sheet links.</t>
  </si>
  <si>
    <t>User pointed out Gantt B9/C9 had wrong dates (serial numbers) and asked if Gantt is linked to source sheets.</t>
  </si>
  <si>
    <t>Linked ALL Gantt data to source sheets (Logistique Vols + Hébergements)</t>
  </si>
  <si>
    <t>FIXED: 1) Converted flight dates D2,F2,D4,F4,D7,D8,F7,F8 from text to =DATE() formulas in Logistique Vols. 2) Replaced ALL static dates in Timeline Gantt B5:C28 with =TEXT('source'!cell,"jj/MM") or =LEFT() formulas. 3) Linked chart data columns F,G,J,K,L to source sheets with formulas. 4) Same for Timeline Gantt (2). French locale uses jj/MM not dd/MM for TEXT(). Total: ~80+ formulas now link Gantt to Logistique Vols and Hébergements.</t>
  </si>
  <si>
    <t>Both Gantt sheets fully linked. All dates display correctly. Changing a flight date or hotel date now auto-updates the Gantt.</t>
  </si>
  <si>
    <t>User frustrated - wants a proper centralized DB sheet with clean separated columns (date vs time), and ALL other sheets referencing it. Gantt missing info about shared activities. Wants full review.</t>
  </si>
  <si>
    <t>Proposed complete refactoring plan: 1) New BD Source sheet, 2) Recable all sheets with formulas, 3) Complete Gantt with missing info</t>
  </si>
  <si>
    <t>Plan presented to user for approval before executing. Key issues: dates/times mixed in same cells, data duplicated manually across sheets, Gantt missing shared activity info, no single source of truth.</t>
  </si>
  <si>
    <t>Awaiting user approval of plan before proceeding.</t>
  </si>
  <si>
    <t>🗄️ BASE DE DONNÉES SOURCE — VOYAGE BRÉSIL 2026</t>
  </si>
  <si>
    <t>ID</t>
  </si>
  <si>
    <t>Nb Pax</t>
  </si>
  <si>
    <t>V1</t>
  </si>
  <si>
    <t>⚠️ 0 SOUTE</t>
  </si>
  <si>
    <t>Terminal 1 GVA</t>
  </si>
  <si>
    <t>V2</t>
  </si>
  <si>
    <t>1 pers + 1 cabine (10kg)</t>
  </si>
  <si>
    <t>Escale Belém</t>
  </si>
  <si>
    <t>V3</t>
  </si>
  <si>
    <t>Billet A/R</t>
  </si>
  <si>
    <t>V4</t>
  </si>
  <si>
    <t>✅ Inclus A/R (845.81 CHF)</t>
  </si>
  <si>
    <t>Retour inclus dans V3</t>
  </si>
  <si>
    <t>V5</t>
  </si>
  <si>
    <t>V6</t>
  </si>
  <si>
    <t>Remplace LI2NWF</t>
  </si>
  <si>
    <t>V7</t>
  </si>
  <si>
    <t>Remplace ZLT7RZ</t>
  </si>
  <si>
    <t>Date CheckIn</t>
  </si>
  <si>
    <t>Heure CheckIn</t>
  </si>
  <si>
    <t>Date CheckOut</t>
  </si>
  <si>
    <t>Heure CheckOut</t>
  </si>
  <si>
    <t>GPS</t>
  </si>
  <si>
    <t>H1</t>
  </si>
  <si>
    <t>S 023° 33.693, W 46° 37.977</t>
  </si>
  <si>
    <t>H2</t>
  </si>
  <si>
    <t>S 003° 43.880, W 38° 27.466</t>
  </si>
  <si>
    <t>H3</t>
  </si>
  <si>
    <t>S 003° 43.418, W 38° 30.401</t>
  </si>
  <si>
    <t>H4</t>
  </si>
  <si>
    <t>S 004° 31.671, W 37° 41.874</t>
  </si>
  <si>
    <t>Conducteur(s)</t>
  </si>
  <si>
    <t>Date Début</t>
  </si>
  <si>
    <t>Heure Début</t>
  </si>
  <si>
    <t>Date Fin</t>
  </si>
  <si>
    <t>Heure Fin</t>
  </si>
  <si>
    <t>Pré-autorisation BRL</t>
  </si>
  <si>
    <t>Réf.</t>
  </si>
  <si>
    <t>Adresse Agence</t>
  </si>
  <si>
    <t>T1</t>
  </si>
  <si>
    <t>Claudio + conducteur additionnel</t>
  </si>
  <si>
    <t>Localiza</t>
  </si>
  <si>
    <t>⚠️ À PAYER à la prise</t>
  </si>
  <si>
    <t>Annulation gratuite &gt;48h. 24h/24.</t>
  </si>
  <si>
    <t>CONTACTS</t>
  </si>
  <si>
    <t>Organisme</t>
  </si>
  <si>
    <t>C1</t>
  </si>
  <si>
    <t>Réf YS3VET</t>
  </si>
  <si>
    <t>C2</t>
  </si>
  <si>
    <t>Réf XR2CPW / XR85TH</t>
  </si>
  <si>
    <t>C3</t>
  </si>
  <si>
    <t>4003-1118 / 0800 887 1118</t>
  </si>
  <si>
    <t>Réf MJ5NQC + ON3LQT + TNG1NT</t>
  </si>
  <si>
    <t>C4</t>
  </si>
  <si>
    <t>Booking.com (assist. FR)</t>
  </si>
  <si>
    <t>+33 1 57 32 92 09</t>
  </si>
  <si>
    <t>C5</t>
  </si>
  <si>
    <t>RUA TAMANDARE 246, Liberdade, SP</t>
  </si>
  <si>
    <t>GPS: S023°33.693 W46°37.977</t>
  </si>
  <si>
    <t>C6</t>
  </si>
  <si>
    <t>Av Clóvis Arrais Maia 2790, Fortaleza</t>
  </si>
  <si>
    <t>GPS: S003°43.880 W38°27.466</t>
  </si>
  <si>
    <t>C7</t>
  </si>
  <si>
    <t>Rua Monsenhor Bruno 122, Meireles</t>
  </si>
  <si>
    <t>GPS: S003°43.418 W38°30.401</t>
  </si>
  <si>
    <t>C8</t>
  </si>
  <si>
    <t>ASAS DEL MAR</t>
  </si>
  <si>
    <t>DT SITIO ESTEVAO, Canoa Quebrada</t>
  </si>
  <si>
    <t>GPS: S004°31.671 W37°41.874</t>
  </si>
  <si>
    <t>C9</t>
  </si>
  <si>
    <t>Aéroport Fortaleza</t>
  </si>
  <si>
    <t>Réf MO49499YVQBC</t>
  </si>
  <si>
    <t>C10</t>
  </si>
  <si>
    <t>C12</t>
  </si>
  <si>
    <t>C13</t>
  </si>
  <si>
    <t>Ambassade Suisse</t>
  </si>
  <si>
    <t>C14</t>
  </si>
  <si>
    <t>VOYAGEURS</t>
  </si>
  <si>
    <t>Date Début Voyage</t>
  </si>
  <si>
    <t>Date Fin Voyage</t>
  </si>
  <si>
    <t>Retour par</t>
  </si>
  <si>
    <t>P1</t>
  </si>
  <si>
    <t>Épouse (brésilienne)</t>
  </si>
  <si>
    <t>✈️ Avion</t>
  </si>
  <si>
    <t>P2</t>
  </si>
  <si>
    <t>Voyageur principal</t>
  </si>
  <si>
    <t>P3</t>
  </si>
  <si>
    <t>après 06/06</t>
  </si>
  <si>
    <t>🚌 Bus</t>
  </si>
  <si>
    <t>P4</t>
  </si>
  <si>
    <t>PARAMÈTRES</t>
  </si>
  <si>
    <t>Taux CHF/BRL</t>
  </si>
  <si>
    <t>User approved plan. Execute full BD Source refactoring.</t>
  </si>
  <si>
    <t>Created 🗄️ BD Source sheet + recabled ALL sheets with 150+ formulas</t>
  </si>
  <si>
    <t>CREATED: 🗄️ BD Source (sheetId 19) with 4 sections: VOLS (7 flights, cols A:S, dates=DATE() + times=TIME() in separate columns), HÉBERGEMENTS (4 hotels, separate date/time cols), TRANSPORT (Localiza), CONTACTS (14 entries), VOYAGEURS (4 travelers), PARAMÈTRES (taux CHF/BRL). RECABLED: 📋 Logistique Vols (all 7×16 cells), 🏨 Hébergements (all 4×15 cells), 📅 Where by Date (20+ cells), 📊 Timeline Gantt (40+ cells B:C + F:G + J:L), 📊 Gantt (2) (40+ cells), 💰 Budget Total (15+ price cells + taux), 💰 Coûts par Personne (15+ cells). All totals verified: CHF 2637.91, BRL 9510.88, Grand Total 4057.44 CHF.</t>
  </si>
  <si>
    <t>BD Source created. All 7 sheets now reference BD Source as single source of truth. Change a date/price/name in BD Source → propagates everywhere automatically.</t>
  </si>
  <si>
    <t>H5</t>
  </si>
  <si>
    <t>Pousada Bangalô</t>
  </si>
  <si>
    <t>Jericoacoara</t>
  </si>
  <si>
    <t>2× Double/Twin Standard</t>
  </si>
  <si>
    <t>26/05/2026</t>
  </si>
  <si>
    <t>5620.348.709</t>
  </si>
  <si>
    <t>Public (supplément possible)</t>
  </si>
  <si>
    <t>S 002° 47.867, W 40° 30.843</t>
  </si>
  <si>
    <t>Pousada Bangalô (2 nuits)</t>
  </si>
  <si>
    <t>Pousada Bangalô, 2 nuits (1/4)</t>
  </si>
  <si>
    <t>⚠️ HÉBERGEMENT MANQUANT (check-out Pousada)</t>
  </si>
  <si>
    <t>4 NUITS HÉBERGEMENT MANQUANT (03/06 → 05/06) — Réduit de 6 à 4 grâce à Pousada Bangalô (01-03/06)</t>
  </si>
  <si>
    <t>Réserver encore 2 nuits (03-05/06) entre Pousada Bangalô et vol retour!</t>
  </si>
  <si>
    <t>C15</t>
  </si>
  <si>
    <t>Pousada Bangalô (Jericoacoara)</t>
  </si>
  <si>
    <t>+55 88 99904 5258</t>
  </si>
  <si>
    <t>Rua Novo Jeri, S/N, Jericoacoara, CEP 62598-000</t>
  </si>
  <si>
    <t>GPS: S002°47.867 W40°30.843. Réf 5620.348.709</t>
  </si>
  <si>
    <t>GPS: S 002° 47.867, W 40° 30.843</t>
  </si>
  <si>
    <t>User uploaded Booking.com confirmation for Pousada Bangalô (Jericoacoara). Asked to add and update everything.</t>
  </si>
  <si>
    <t>Added H5 to BD Source, propagated to all sheets</t>
  </si>
  <si>
    <t>NEW HOTEL: Pousada Bangalô, Jericoacoara, 01-03/06/2026, 2 nuits, 2× Double/Twin, 4 adultes, CHF 129 / R$ 861.12, 50% prépaiement, annulation gratuite jusqu'au 26/05, réf 5620.348.709. UPDATED: BD Source row 19, Hébergements row 6, Budget row 19 (+CHF 129, +R$861.12), Coûts/Personne (Claudio+Claudeane +32.25 CHF +215.28 BRL each), Where by Date rows 19-20 (01-02/06), Trous&amp;Alertes (gap reduced 6→4 nights), Contacts. NEW TOTALS: CHF 2766.91 + BRL 10372 = Grand Total CHF 4,314.97.</t>
  </si>
  <si>
    <t>Pousada Bangalô fully integrated. Gap reduced from 6 to 4 nights (03-05/06 still missing). All sheets updated.</t>
  </si>
  <si>
    <t>❌ NON PAYÉ — 50% à payer avant le 09/04/2026 (15j avant annul. 24/04)</t>
  </si>
  <si>
    <t>❌ NON PAYÉ — Conditions à vérifier. Si 50%: payer avant le 04/05/2026 (15j avant annul. 19/05)</t>
  </si>
  <si>
    <t>❌ NON PAYÉ — 50% à payer avant le 11/05/2026 (15j avant annul. 26/05)</t>
  </si>
  <si>
    <t>❌ Non payé — 50% avant 09/04</t>
  </si>
  <si>
    <t>❌ Non payé — vérifier conditions, 50% avant 04/05</t>
  </si>
  <si>
    <t>❌ Non payé — 50% avant 11/05</t>
  </si>
  <si>
    <t>❌ Non payé — vérifier, 50% avant 04/05</t>
  </si>
  <si>
    <t>⚠️ Payer 50% Encontro do Sol</t>
  </si>
  <si>
    <t>50% à payer 15j avant annul. (24/04). Deadline: 09/04/2026. Contacter +55 85 3031 6222</t>
  </si>
  <si>
    <t>Avant 09/04 ⚠️</t>
  </si>
  <si>
    <t>⚠️ RÉSERVER 2 NUITS (03/06-05/06)!</t>
  </si>
  <si>
    <t>Pousada Bangalô couvre 01-03/06. TROU restant: 2 nuits avant vol retour 05/06!</t>
  </si>
  <si>
    <t>⚠️ Vérifier conditions ASAS DEL MAR</t>
  </si>
  <si>
    <t>Si 50% prépaiement: payer avant le 04/05/2026 (15j avant annul. 19/05)</t>
  </si>
  <si>
    <t>Avant 04/05</t>
  </si>
  <si>
    <t>⚠️ Payer 50% Pousada Bangalô</t>
  </si>
  <si>
    <t>50% à payer 15j avant annul. (26/05). Deadline: 11/05/2026. Réf 5620.348.709</t>
  </si>
  <si>
    <t>Avant 11/05</t>
  </si>
  <si>
    <t>DEADLINES PAIEMENT: Encontro 50% avant 09/04, ASAS vérifier avant 04/05, Pousada 50% avant 11/05</t>
  </si>
  <si>
    <t>Payer 50% des hébergements 15 jours avant la date limite d'annulation gratuite!</t>
  </si>
  <si>
    <t>✅ PARTIEL</t>
  </si>
  <si>
    <t>Pousada Bangalô réservée 01-03/06 → Gap réduit de 6 à 4 nuits (reste 03-05/06)</t>
  </si>
  <si>
    <t>Réf 5620.348.709. CHF 129 / R$ 861.12. Encore 2 nuits à réserver.</t>
  </si>
  <si>
    <t>User corrected: hotels are NOT prepaid. Rule: pay 50% at least 15 days before the free cancellation deadline. Applies to Encontro, ASAS, Pousada.</t>
  </si>
  <si>
    <t>Updated payment statuses across BD Source, Budget, Coûts, Checklist, Alertes</t>
  </si>
  <si>
    <t>RULE: 50% prépaiement = pay 15 days before annulation deadline. UPDATED BD Source N17 (Encontro: pay by 09/04), N18 (ASAS: verify, pay by 04/05), N19 (Pousada: pay by 11/05). Propagated to Budget Total D17-D19, Coûts par Personne E8-E10 + E19-E21, Checklist (3 new deadline items), Trous&amp;Alertes (payment deadline alert + Pousada partial resolution).</t>
  </si>
  <si>
    <t>All payment statuses corrected. Key deadlines: Encontro 09/04, ASAS 04/05, Pousada 11/05.</t>
  </si>
  <si>
    <t>📄 DESCRIPTION COMPLÈTE DU CLASSEUR — VOYAGE BRÉSIL 2026 (MÀJ 21/02/2026)</t>
  </si>
  <si>
    <t>Source unique: 🗄️ BD Source. Tous les onglets sont liés par formules.</t>
  </si>
  <si>
    <t>══════════════════════════════════════════════════════════════</t>
  </si>
  <si>
    <t>MÉTA-INFORMATIONS</t>
  </si>
  <si>
    <t>Dates</t>
  </si>
  <si>
    <t>27/04 → 06/06</t>
  </si>
  <si>
    <t>23/05 → 06/06</t>
  </si>
  <si>
    <t>~25/05 → après 06/06</t>
  </si>
  <si>
    <t>Devise</t>
  </si>
  <si>
    <t>CHF / BRL</t>
  </si>
  <si>
    <t>Modifiable dans BD Source B50</t>
  </si>
  <si>
    <t>Couleur</t>
  </si>
  <si>
    <t>■</t>
  </si>
  <si>
    <t>Headers principaux</t>
  </si>
  <si>
    <t>Headers hôtels + Claudio</t>
  </si>
  <si>
    <t>Claudeane (Gantt)</t>
  </si>
  <si>
    <t>#4472C4</t>
  </si>
  <si>
    <t>Headers BD Source</t>
  </si>
  <si>
    <t>ONGLET: 📋 Logistique Vols (7 vols) — lié à BD Source</t>
  </si>
  <si>
    <t>Date Dép</t>
  </si>
  <si>
    <t>GVA → ZRH → GRU</t>
  </si>
  <si>
    <t>VCP → BEL → Ourilândia</t>
  </si>
  <si>
    <t>Azul/Trip.com</t>
  </si>
  <si>
    <t>GVA → Lisbonne → FOR</t>
  </si>
  <si>
    <t>FOR → Lisbonne → GVA</t>
  </si>
  <si>
    <t>Claud.+Lucil.+Jhem.</t>
  </si>
  <si>
    <t>MAB → BEL</t>
  </si>
  <si>
    <t>BEL → FOR</t>
  </si>
  <si>
    <t>TNG1NT/AKE4YZ</t>
  </si>
  <si>
    <t>845.81 (A/R)</t>
  </si>
  <si>
    <t>inclus A/R</t>
  </si>
  <si>
    <t>1 main (8kg)</t>
  </si>
  <si>
    <t>Non sélect.</t>
  </si>
  <si>
    <t>✅ Payé MC****4753</t>
  </si>
  <si>
    <t>Economy Light</t>
  </si>
  <si>
    <t>⚠️ En Espera</t>
  </si>
  <si>
    <t>✅ Payé Booking</t>
  </si>
  <si>
    <t>10A/7E</t>
  </si>
  <si>
    <t>✅ Inclus A/R</t>
  </si>
  <si>
    <t>10C/7F</t>
  </si>
  <si>
    <t>11D/11E/11F</t>
  </si>
  <si>
    <t>⚠️ EN ESPERA</t>
  </si>
  <si>
    <t>3 pax, rempl. LI2NWF</t>
  </si>
  <si>
    <t>Heure Dép</t>
  </si>
  <si>
    <t>Heure Arr</t>
  </si>
  <si>
    <t>1 300.17</t>
  </si>
  <si>
    <t>1 pers+1 cab (10kg)</t>
  </si>
  <si>
    <t>1 petit+1 cab (10kg)</t>
  </si>
  <si>
    <t>11A/11B/11C</t>
  </si>
  <si>
    <t>3 pax, rempl. ZLT7RZ</t>
  </si>
  <si>
    <t>ONGLET: 🏨 Hébergements (5 hôtels) — lié à BD Source</t>
  </si>
  <si>
    <t>Jusqu'au 24/04/2026</t>
  </si>
  <si>
    <t>Jusqu'au 17/05/2026</t>
  </si>
  <si>
    <t>❌ NON PAYÉ — 50% avant 09/04</t>
  </si>
  <si>
    <t>❌ NON PAYÉ — vérifier, 50% avant 04/05</t>
  </si>
  <si>
    <t>Jusqu'au 19/05/2026</t>
  </si>
  <si>
    <t>❌ NON PAYÉ — 50% avant 11/05</t>
  </si>
  <si>
    <t>Jusqu'au 26/05/2026</t>
  </si>
  <si>
    <t>Public (suppl. possible)</t>
  </si>
  <si>
    <t>ONGLET: 🚗 Location Voiture (Localiza) — lié à BD Source</t>
  </si>
  <si>
    <t>Info</t>
  </si>
  <si>
    <t>Valeur</t>
  </si>
  <si>
    <t>Prise</t>
  </si>
  <si>
    <t>23/05/2026 à 22h00 — Aéroport Fortaleza (24h/24)</t>
  </si>
  <si>
    <t>Retour</t>
  </si>
  <si>
    <t>05/06/2026 à 18h00 — Même agence</t>
  </si>
  <si>
    <t>Détail coûts BRL</t>
  </si>
  <si>
    <t>Montant</t>
  </si>
  <si>
    <t>1 442.35</t>
  </si>
  <si>
    <t>9 234.16</t>
  </si>
  <si>
    <t>3 132.30</t>
  </si>
  <si>
    <t>R$ 2 500.00 (remboursée après clôture)</t>
  </si>
  <si>
    <t>ONGLET: 📅 Where by Date (23 entrées) — lié à BD Source</t>
  </si>
  <si>
    <t>✈️ GVA → ZRH → GRU (dép 20:05)</t>
  </si>
  <si>
    <t>📍 Arrivée São Paulo 05:25 → Free Palace Hotel</t>
  </si>
  <si>
    <t>✈️ VCP → BEL → Ourilândia (dép 21:45)</t>
  </si>
  <si>
    <t>🏨 Check-out Maly → Encontro do Sol 13:30</t>
  </si>
  <si>
    <t>🏨 Encontro do Sol</t>
  </si>
  <si>
    <t>🏨 Pousada Bangalô, Jericoacoara</t>
  </si>
  <si>
    <t>🏨 Pousada Bangalô</t>
  </si>
  <si>
    <t>🚗 Retour Localiza 18:00 → ✈️ FOR→LIS→GVA 22:50</t>
  </si>
  <si>
    <t>ONGLET: 📊 Timeline Gantt (2 versions) — lié à BD Source</t>
  </si>
  <si>
    <t>2 onglets Gantt avec charts barStacked:</t>
  </si>
  <si>
    <t>• Gantt (2): 2 swim lanes Claudeane (🎀 rose #E74C8B) / Claudio (👔 bleu #2E75B6)</t>
  </si>
  <si>
    <t>• Gantt original: version précédente conservée</t>
  </si>
  <si>
    <t>• Axe dates: 27/04 → 10/06 (dd/MM). Barres avec durée en labels blancs.</t>
  </si>
  <si>
    <t>ONGLET: 💰 Coûts par Personne — lié à BD Source</t>
  </si>
  <si>
    <t>1 098.81</t>
  </si>
  <si>
    <t>4 829.20</t>
  </si>
  <si>
    <t>R$(1300.17+799.14)/3. MJ5NQC+ON3LQT</t>
  </si>
  <si>
    <t>VCP→BEL→Ourilândia (Azul/Trip)</t>
  </si>
  <si>
    <t>1 342.60</t>
  </si>
  <si>
    <t>1 962.88</t>
  </si>
  <si>
    <t>ONGLET: 💰 Budget Total — lié à BD Source</t>
  </si>
  <si>
    <t>3 pax: MAB→BEL (Azul) MJ5NQC</t>
  </si>
  <si>
    <t>3 pax: BEL→FOR (Azul) ON3LQT</t>
  </si>
  <si>
    <t>⚠️ 50% avant 09/04</t>
  </si>
  <si>
    <t>1 968</t>
  </si>
  <si>
    <t>❌ Non payé — 50% avant 04/05</t>
  </si>
  <si>
    <t>2 766.91</t>
  </si>
  <si>
    <t>10 372.00</t>
  </si>
  <si>
    <t>1 548.06</t>
  </si>
  <si>
    <t>4 314.97 CHF</t>
  </si>
  <si>
    <t>ONGLET: ⚠️ Trous &amp; Alertes (13 alertes)</t>
  </si>
  <si>
    <t>4 NUITS HÉBERGEMENT MANQUANT (03/06 → 05/06)</t>
  </si>
  <si>
    <t>Réserver encore 2 nuits (03-05/06)!</t>
  </si>
  <si>
    <t>Vols Azul EN ESPERA (MJ5NQC + ON3LQT)</t>
  </si>
  <si>
    <t>Vérifier confirmation. Bagages = 0!</t>
  </si>
  <si>
    <t>Transport SP → Ourilândia → BILLET TROUVÉ</t>
  </si>
  <si>
    <t>Azul AD2954+AD5108, réf TNG1NT/AKE4YZ</t>
  </si>
  <si>
    <t>Vérifier statut. Bagages et sièges = 0!</t>
  </si>
  <si>
    <t>Retour Lucileide + Jhemerson: bus après 06/06</t>
  </si>
  <si>
    <t>Lucil.+Jhem.</t>
  </si>
  <si>
    <t>Gèrent leur logistique.</t>
  </si>
  <si>
    <t>Claudeane: 0 BAGAGE SOUTE SWISS (Economy Light)</t>
  </si>
  <si>
    <t>Acheter franchise bagage soute SWISS!</t>
  </si>
  <si>
    <t>Claudio: 0 BAGAGE SOUTE TAP (aller ET retour)</t>
  </si>
  <si>
    <t>Vérifier/acheter franchise TAP.</t>
  </si>
  <si>
    <t>Azul: Bagages ET sièges = 0 pour 3 pax</t>
  </si>
  <si>
    <t>Sélectionner sur app Azul.</t>
  </si>
  <si>
    <t>Encontro do Sol: 50% prépaiement virement</t>
  </si>
  <si>
    <t>Contacter hôtel pour infos virement.</t>
  </si>
  <si>
    <t>Claudio: Sièges non sélect. TAP aller</t>
  </si>
  <si>
    <t>Sélectionner sièges TP941+TP35.</t>
  </si>
  <si>
    <t>Claudeane: Sièges non sélect. SWISS</t>
  </si>
  <si>
    <t>Sélectionner sièges LX2819+LX92.</t>
  </si>
  <si>
    <t>DEADLINES: Encontro 09/04, ASAS 04/05, Pousada 11/05</t>
  </si>
  <si>
    <t>50% hébergements 15j avant annulation!</t>
  </si>
  <si>
    <t>Pousada Bangalô 01-03/06 → Gap 6→4 nuits</t>
  </si>
  <si>
    <t>Réf 5620.348.709. Encore 2 nuits à réserver.</t>
  </si>
  <si>
    <t>ONGLET: ✅ Checklist Voyage (16 items)</t>
  </si>
  <si>
    <t>Fait?</t>
  </si>
  <si>
    <t>Validité &gt; 6 mois après retour</t>
  </si>
  <si>
    <t>Vérifier titre de séjour CH valide</t>
  </si>
  <si>
    <t>Photos passeports, billets dans cloud</t>
  </si>
  <si>
    <t>Réf YS3VET - GVA T1</t>
  </si>
  <si>
    <t>Economy Light = 0 soute!</t>
  </si>
  <si>
    <t>Réf XR2CPW</t>
  </si>
  <si>
    <t>Confirmation dit 0 soute</t>
  </si>
  <si>
    <t>MJ5NQC+ON3LQT. Bagages = 0!</t>
  </si>
  <si>
    <t>Deadline 09/04. Tél +55 85 3031 6222</t>
  </si>
  <si>
    <t>⚠️ Vérifier ASAS DEL MAR</t>
  </si>
  <si>
    <t>Si 50%: payer avant 04/05</t>
  </si>
  <si>
    <t>Deadline 11/05. Réf 5620.348.709</t>
  </si>
  <si>
    <t>⚠️ RÉSERVER 2 NUITS (03-05/06)!</t>
  </si>
  <si>
    <t>TROU: 2 nuits avant vol retour!</t>
  </si>
  <si>
    <t>Accès aéroport MAB 25/05</t>
  </si>
  <si>
    <t>Retirada Digital sans comptoir</t>
  </si>
  <si>
    <t>ONGLET: 📞 Contacts &amp; Adresses</t>
  </si>
  <si>
    <t>Réf MJ5NQC+ON3LQT+TNG1NT</t>
  </si>
  <si>
    <t>Booking.com (FR)</t>
  </si>
  <si>
    <t>Free Palace Hotel (SP)</t>
  </si>
  <si>
    <t>Rua Tamandare 246, Liberdade</t>
  </si>
  <si>
    <t>Maly Boutique (FOR)</t>
  </si>
  <si>
    <t>Av. Clóvis Arrais Maia 2790</t>
  </si>
  <si>
    <t>Encontro do Sol (FOR)</t>
  </si>
  <si>
    <t>ASAS DEL MAR (CQ)</t>
  </si>
  <si>
    <t>DT Sitio Estevao, Canoa Quebrada</t>
  </si>
  <si>
    <t>Pousada Bangalô (Jeri)</t>
  </si>
  <si>
    <t>Rua Novo Jeri, S/N, Jericoacoara</t>
  </si>
  <si>
    <t>GPS: S002°47.867 W40°30.843</t>
  </si>
  <si>
    <t>Réf MO49499YVQBC - 24h/24</t>
  </si>
  <si>
    <t>Reprendre et terminer la régénération complète de l'onglet Description HTML (interrompue à la ligne 50 lors de la session précédente).</t>
  </si>
  <si>
    <t>Vidé l'ancien contenu (50 lignes avec dates sérielles cassées). Réécrit entièrement en 5 blocs (255 lignes): Méta-infos, Vols (7), Hébergements (5 incl. Pousada Bangalô), Location Voiture, Where by Date (23 entrées), Gantt résumé, Coûts/Personne, Budget Total (Grand Total 4 314.97 CHF), Trous&amp;Alertes (13), Checklist (16 items), Contacts.</t>
  </si>
  <si>
    <t>Toutes dates écrites en texte lisible (dd/MM/yyyy ou dd/MM). Heures en texte (HH:MM). Format numérique @ pour éviter auto-conversion Excel. Correction des dates Where by Date forcées en texte. Colonnes A-F redimensionnées (200-280 pts). Headers colorés (#1F4E79, #2E75B6, #FF0000, #D6E4F0).</t>
  </si>
  <si>
    <t>Onglet Description HTML complet et à jour avec toutes les données du classeur, prêt pour reconstitution HTML/Git.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</si>
</sst>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
  </numFmts>
  <fonts count="42" x14ac:knownFonts="1">
    <font>
      <sz val="11"/>
      <color theme="1"/>
      <name val="Calibri"/>
      <family val="2"/>
      <scheme val="minor"/>
    </font>
    <font>
      <sz val="11"/>
      <color rgb="FFFF0000"/>
      <name val="Calibri"/>
      <family val="2"/>
      <scheme val="minor"/>
    </font>
    <font>
      <b/>
      <sz val="11"/>
      <color theme="1"/>
      <name val="Calibri"/>
      <family val="2"/>
      <scheme val="minor"/>
    </font>
    <font>
      <b/>
      <sz val="10"/>
      <color rgb="FFFFFFFF"/>
      <name val="Calibri"/>
      <family val="2"/>
      <scheme val="minor"/>
    </font>
    <font>
      <sz val="10"/>
      <color theme="1"/>
      <name val="Calibri"/>
      <family val="2"/>
      <scheme val="minor"/>
    </font>
    <font>
      <b/>
      <sz val="10"/>
      <color theme="1"/>
      <name val="Calibri"/>
      <family val="2"/>
      <scheme val="minor"/>
    </font>
    <font>
      <sz val="10"/>
      <color rgb="FFFF0000"/>
      <name val="Calibri"/>
      <family val="2"/>
      <scheme val="minor"/>
    </font>
    <font>
      <b/>
      <sz val="10"/>
      <color rgb="FFFF0000"/>
      <name val="Calibri"/>
      <family val="2"/>
      <scheme val="minor"/>
    </font>
    <font>
      <sz val="10"/>
      <color rgb="FFFF8C00"/>
      <name val="Calibri"/>
      <family val="2"/>
      <scheme val="minor"/>
    </font>
    <font>
      <sz val="10"/>
      <color rgb="FF008000"/>
      <name val="Calibri"/>
      <family val="2"/>
      <scheme val="minor"/>
    </font>
    <font>
      <b/>
      <sz val="10"/>
      <color rgb="FF008000"/>
      <name val="Calibri"/>
      <family val="2"/>
      <scheme val="minor"/>
    </font>
    <font>
      <b/>
      <sz val="14"/>
      <color rgb="FFFFFFFF"/>
      <name val="Calibri"/>
      <family val="2"/>
      <scheme val="minor"/>
    </font>
    <font>
      <b/>
      <sz val="11"/>
      <color rgb="FFFFFFFF"/>
      <name val="Calibri"/>
      <family val="2"/>
      <scheme val="minor"/>
    </font>
    <font>
      <sz val="11"/>
      <color rgb="FF0000FF"/>
      <name val="Calibri"/>
      <family val="2"/>
      <scheme val="minor"/>
    </font>
    <font>
      <sz val="10"/>
      <color rgb="FF0000FF"/>
      <name val="Calibri"/>
      <family val="2"/>
      <scheme val="minor"/>
    </font>
    <font>
      <sz val="10"/>
      <color rgb="FF808080"/>
      <name val="Calibri"/>
      <family val="2"/>
      <scheme val="minor"/>
    </font>
    <font>
      <b/>
      <sz val="10"/>
      <color rgb="FF0000FF"/>
      <name val="Calibri"/>
      <family val="2"/>
      <scheme val="minor"/>
    </font>
    <font>
      <b/>
      <sz val="12"/>
      <color rgb="FFFFFFFF"/>
      <name val="Calibri"/>
      <family val="2"/>
      <scheme val="minor"/>
    </font>
    <font>
      <b/>
      <sz val="10"/>
      <color rgb="FFFF8C00"/>
      <name val="Calibri"/>
      <family val="2"/>
      <scheme val="minor"/>
    </font>
    <font>
      <b/>
      <sz val="10"/>
      <color rgb="FF808080"/>
      <name val="Calibri"/>
      <family val="2"/>
      <scheme val="minor"/>
    </font>
    <font>
      <sz val="14"/>
      <color theme="1"/>
      <name val="Calibri"/>
      <family val="2"/>
      <scheme val="minor"/>
    </font>
    <font>
      <b/>
      <sz val="9"/>
      <color rgb="FFFFFFFF"/>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
      <b/>
      <sz val="9"/>
      <color theme="1"/>
      <name val="Calibri"/>
      <family val="2"/>
      <scheme val="minor"/>
    </font>
    <font>
      <sz val="9"/>
      <color rgb="FF808080"/>
      <name val="Calibri"/>
      <family val="2"/>
      <scheme val="minor"/>
    </font>
    <font>
      <b/>
      <sz val="9"/>
      <color rgb="FF808080"/>
      <name val="Calibri"/>
      <family val="2"/>
      <scheme val="minor"/>
    </font>
    <font>
      <sz val="8"/>
      <color theme="1"/>
      <name val="Calibri"/>
      <family val="2"/>
      <scheme val="minor"/>
    </font>
    <font>
      <b/>
      <sz val="8"/>
      <color rgb="FFFF0000"/>
      <name val="Calibri"/>
      <family val="2"/>
      <scheme val="minor"/>
    </font>
    <font>
      <sz val="8"/>
      <color rgb="FF808080"/>
      <name val="Calibri"/>
      <family val="2"/>
      <scheme val="minor"/>
    </font>
    <font>
      <b/>
      <sz val="8"/>
      <color rgb="FFFFFFFF"/>
      <name val="Calibri"/>
      <family val="2"/>
      <scheme val="minor"/>
    </font>
    <font>
      <sz val="11"/>
      <color rgb="FFE74C8B"/>
      <name val="Calibri"/>
      <family val="2"/>
      <scheme val="minor"/>
    </font>
    <font>
      <sz val="11"/>
      <color rgb="FF2E75B6"/>
      <name val="Calibri"/>
      <family val="2"/>
      <scheme val="minor"/>
    </font>
    <font>
      <b/>
      <sz val="11"/>
      <color rgb="FF1F4E79"/>
      <name val="Calibri"/>
      <family val="2"/>
      <scheme val="minor"/>
    </font>
    <font>
      <sz val="11"/>
      <color rgb="FF1F4E79"/>
      <name val="Calibri"/>
      <family val="2"/>
      <scheme val="minor"/>
    </font>
    <font>
      <b/>
      <sz val="11"/>
      <color rgb="FF2E75B6"/>
      <name val="Calibri"/>
      <family val="2"/>
      <scheme val="minor"/>
    </font>
    <font>
      <sz val="11"/>
      <color rgb="FF4472C4"/>
      <name val="Calibri"/>
      <family val="2"/>
      <scheme val="minor"/>
    </font>
    <font>
      <i/>
      <sz val="11"/>
      <color rgb="FF2E75B6"/>
      <name val="Calibri"/>
      <family val="2"/>
      <scheme val="minor"/>
    </font>
    <font>
      <b/>
      <sz val="11"/>
      <color rgb="FFFF0000"/>
      <name val="Calibri"/>
      <family val="2"/>
      <scheme val="minor"/>
    </font>
    <font>
      <b/>
      <sz val="11"/>
      <color rgb="FF008000"/>
      <name val="Calibri"/>
      <family val="2"/>
      <scheme val="minor"/>
    </font>
    <font>
      <b/>
      <sz val="11"/>
      <color rgb="FFFF8C00"/>
      <name val="Calibri"/>
      <family val="2"/>
      <scheme val="minor"/>
    </font>
  </fonts>
  <fills count="16">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6E4F0"/>
        <bgColor indexed="64"/>
      </patternFill>
    </fill>
    <fill>
      <patternFill patternType="solid">
        <fgColor rgb="FFF2F2F2"/>
        <bgColor indexed="64"/>
      </patternFill>
    </fill>
    <fill>
      <patternFill patternType="solid">
        <fgColor rgb="FFFFC000"/>
        <bgColor indexed="64"/>
      </patternFill>
    </fill>
    <fill>
      <patternFill patternType="solid">
        <fgColor rgb="FFFFE599"/>
        <bgColor indexed="64"/>
      </patternFill>
    </fill>
    <fill>
      <patternFill patternType="solid">
        <fgColor rgb="FFE2EFDA"/>
        <bgColor indexed="64"/>
      </patternFill>
    </fill>
    <fill>
      <patternFill patternType="solid">
        <fgColor rgb="FFFFF2CC"/>
        <bgColor indexed="64"/>
      </patternFill>
    </fill>
    <fill>
      <patternFill patternType="solid">
        <fgColor rgb="FFFFC7CE"/>
        <bgColor indexed="64"/>
      </patternFill>
    </fill>
    <fill>
      <patternFill patternType="solid">
        <fgColor rgb="FFFF0000"/>
        <bgColor indexed="64"/>
      </patternFill>
    </fill>
    <fill>
      <patternFill patternType="solid">
        <fgColor rgb="FFC00000"/>
        <bgColor indexed="64"/>
      </patternFill>
    </fill>
    <fill>
      <patternFill patternType="solid">
        <fgColor rgb="FFC6EFCE"/>
        <bgColor indexed="64"/>
      </patternFill>
    </fill>
    <fill>
      <patternFill patternType="solid">
        <fgColor rgb="FFE74C8B"/>
        <bgColor indexed="64"/>
      </patternFill>
    </fill>
    <fill>
      <patternFill patternType="solid">
        <fgColor rgb="FF4472C4"/>
        <bgColor indexed="64"/>
      </patternFill>
    </fill>
  </fills>
  <borders count="1">
    <border>
      <left/>
      <right/>
      <top/>
      <bottom/>
      <diagonal/>
    </border>
  </borders>
  <cellStyleXfs count="1">
    <xf numFmtId="0" fontId="0" fillId="0" borderId="0"/>
  </cellStyleXfs>
  <cellXfs count="135">
    <xf numFmtId="0" fontId="0" fillId="0" borderId="0" xfId="0"/>
    <xf numFmtId="0" fontId="3" fillId="2" borderId="0" xfId="0" applyFont="1" applyFill="1"/>
    <xf numFmtId="0" fontId="3" fillId="2" borderId="0" xfId="0" applyFont="1" applyFill="1" applyAlignment="1">
      <alignment horizontal="center"/>
    </xf>
    <xf numFmtId="4" fontId="3" fillId="2" borderId="0" xfId="0" applyNumberFormat="1" applyFont="1" applyFill="1" applyAlignment="1">
      <alignment horizontal="center"/>
    </xf>
    <xf numFmtId="0" fontId="4" fillId="0" borderId="0" xfId="0" applyFont="1"/>
    <xf numFmtId="0" fontId="4" fillId="0" borderId="0" xfId="0" applyFont="1" applyAlignment="1">
      <alignment horizontal="center"/>
    </xf>
    <xf numFmtId="20" fontId="0" fillId="0" borderId="0" xfId="0" applyNumberFormat="1"/>
    <xf numFmtId="20" fontId="4" fillId="0" borderId="0" xfId="0" applyNumberFormat="1" applyFont="1" applyAlignment="1">
      <alignment horizontal="center"/>
    </xf>
    <xf numFmtId="0" fontId="5" fillId="0" borderId="0" xfId="0" applyFont="1"/>
    <xf numFmtId="0" fontId="6" fillId="0" borderId="0" xfId="0" applyFont="1"/>
    <xf numFmtId="0" fontId="7" fillId="0" borderId="0" xfId="0" applyFont="1"/>
    <xf numFmtId="0" fontId="8" fillId="0" borderId="0" xfId="0" applyFont="1"/>
    <xf numFmtId="4" fontId="4" fillId="0" borderId="0" xfId="0" applyNumberFormat="1" applyFont="1" applyAlignment="1">
      <alignment horizontal="center"/>
    </xf>
    <xf numFmtId="0" fontId="9" fillId="0" borderId="0" xfId="0" applyFont="1"/>
    <xf numFmtId="14" fontId="0" fillId="0" borderId="0" xfId="0" applyNumberFormat="1"/>
    <xf numFmtId="14" fontId="4" fillId="0" borderId="0" xfId="0" applyNumberFormat="1" applyFont="1"/>
    <xf numFmtId="14" fontId="4" fillId="0" borderId="0" xfId="0" applyNumberFormat="1" applyFont="1" applyAlignment="1">
      <alignment horizontal="center"/>
    </xf>
    <xf numFmtId="0" fontId="10" fillId="0" borderId="0" xfId="0" applyFont="1"/>
    <xf numFmtId="0" fontId="3" fillId="3" borderId="0" xfId="0" applyFont="1" applyFill="1"/>
    <xf numFmtId="0" fontId="3" fillId="3" borderId="0" xfId="0" applyFont="1" applyFill="1" applyAlignment="1">
      <alignment horizontal="center"/>
    </xf>
    <xf numFmtId="0" fontId="9" fillId="0" borderId="0" xfId="0" applyFont="1" applyAlignment="1">
      <alignment horizontal="center"/>
    </xf>
    <xf numFmtId="3" fontId="4" fillId="0" borderId="0" xfId="0" applyNumberFormat="1" applyFont="1" applyAlignment="1">
      <alignment horizontal="center"/>
    </xf>
    <xf numFmtId="0" fontId="8" fillId="0" borderId="0" xfId="0" applyFont="1" applyAlignment="1">
      <alignment horizontal="center"/>
    </xf>
    <xf numFmtId="0" fontId="11" fillId="2" borderId="0" xfId="0" applyFont="1" applyFill="1"/>
    <xf numFmtId="0" fontId="0" fillId="2" borderId="0" xfId="0" applyFill="1"/>
    <xf numFmtId="0" fontId="5" fillId="4" borderId="0" xfId="0" applyFont="1" applyFill="1"/>
    <xf numFmtId="0" fontId="12" fillId="3" borderId="0" xfId="0" applyFont="1" applyFill="1"/>
    <xf numFmtId="0" fontId="0" fillId="3" borderId="0" xfId="0" applyFill="1"/>
    <xf numFmtId="0" fontId="4" fillId="5" borderId="0" xfId="0" applyFont="1" applyFill="1"/>
    <xf numFmtId="4" fontId="4" fillId="0" borderId="0" xfId="0" applyNumberFormat="1" applyFont="1"/>
    <xf numFmtId="0" fontId="2" fillId="0" borderId="0" xfId="0" applyFont="1"/>
    <xf numFmtId="0" fontId="2" fillId="6" borderId="0" xfId="0" applyFont="1" applyFill="1"/>
    <xf numFmtId="0" fontId="0" fillId="6" borderId="0" xfId="0" applyFill="1"/>
    <xf numFmtId="4" fontId="2" fillId="6" borderId="0" xfId="0" applyNumberFormat="1" applyFont="1" applyFill="1"/>
    <xf numFmtId="0" fontId="5" fillId="7" borderId="0" xfId="0" applyFont="1" applyFill="1"/>
    <xf numFmtId="0" fontId="4" fillId="7" borderId="0" xfId="0" applyFont="1" applyFill="1"/>
    <xf numFmtId="0" fontId="4" fillId="8" borderId="0" xfId="0" applyFont="1" applyFill="1" applyAlignment="1">
      <alignment horizontal="center"/>
    </xf>
    <xf numFmtId="0" fontId="13" fillId="0" borderId="0" xfId="0" applyFont="1"/>
    <xf numFmtId="0" fontId="14" fillId="0" borderId="0" xfId="0" applyFont="1"/>
    <xf numFmtId="0" fontId="15" fillId="0" borderId="0" xfId="0" applyFont="1"/>
    <xf numFmtId="0" fontId="4" fillId="10" borderId="0" xfId="0" applyFont="1" applyFill="1" applyAlignment="1">
      <alignment horizontal="center"/>
    </xf>
    <xf numFmtId="0" fontId="16" fillId="0" borderId="0" xfId="0" applyFont="1"/>
    <xf numFmtId="0" fontId="2" fillId="4" borderId="0" xfId="0" applyFont="1" applyFill="1"/>
    <xf numFmtId="0" fontId="5" fillId="4" borderId="0" xfId="0" applyFont="1" applyFill="1" applyAlignment="1">
      <alignment horizontal="center"/>
    </xf>
    <xf numFmtId="0" fontId="7" fillId="10" borderId="0" xfId="0" applyFont="1" applyFill="1"/>
    <xf numFmtId="0" fontId="6" fillId="0" borderId="0" xfId="0" applyFont="1" applyAlignment="1">
      <alignment horizontal="center"/>
    </xf>
    <xf numFmtId="0" fontId="0" fillId="4" borderId="0" xfId="0" applyFill="1"/>
    <xf numFmtId="0" fontId="5" fillId="6" borderId="0" xfId="0" applyFont="1" applyFill="1"/>
    <xf numFmtId="4" fontId="5" fillId="6" borderId="0" xfId="0" applyNumberFormat="1" applyFont="1" applyFill="1" applyAlignment="1">
      <alignment horizontal="center"/>
    </xf>
    <xf numFmtId="0" fontId="17" fillId="2" borderId="0" xfId="0" applyFont="1" applyFill="1"/>
    <xf numFmtId="0" fontId="16" fillId="7" borderId="0" xfId="0" applyFont="1" applyFill="1" applyAlignment="1">
      <alignment horizontal="center"/>
    </xf>
    <xf numFmtId="0" fontId="15" fillId="7" borderId="0" xfId="0" applyFont="1" applyFill="1"/>
    <xf numFmtId="0" fontId="0" fillId="7" borderId="0" xfId="0" applyFill="1"/>
    <xf numFmtId="0" fontId="17" fillId="11" borderId="0" xfId="0" applyFont="1" applyFill="1"/>
    <xf numFmtId="4" fontId="17" fillId="11" borderId="0" xfId="0" applyNumberFormat="1" applyFont="1" applyFill="1" applyAlignment="1">
      <alignment horizontal="center"/>
    </xf>
    <xf numFmtId="0" fontId="0" fillId="11" borderId="0" xfId="0" applyFill="1"/>
    <xf numFmtId="0" fontId="11" fillId="12" borderId="0" xfId="0" applyFont="1" applyFill="1"/>
    <xf numFmtId="0" fontId="0" fillId="12" borderId="0" xfId="0" applyFill="1"/>
    <xf numFmtId="0" fontId="7" fillId="10" borderId="0" xfId="0" applyFont="1" applyFill="1" applyAlignment="1">
      <alignment horizontal="center"/>
    </xf>
    <xf numFmtId="0" fontId="18" fillId="9" borderId="0" xfId="0" applyFont="1" applyFill="1" applyAlignment="1">
      <alignment horizontal="center"/>
    </xf>
    <xf numFmtId="0" fontId="19" fillId="5" borderId="0" xfId="0" applyFont="1" applyFill="1" applyAlignment="1">
      <alignment horizontal="center"/>
    </xf>
    <xf numFmtId="0" fontId="20" fillId="0" borderId="0" xfId="0" applyFont="1" applyAlignment="1">
      <alignment horizontal="center"/>
    </xf>
    <xf numFmtId="0" fontId="7" fillId="0" borderId="0" xfId="0" applyFont="1" applyAlignment="1">
      <alignment horizontal="center"/>
    </xf>
    <xf numFmtId="0" fontId="3" fillId="12" borderId="0" xfId="0" applyFont="1" applyFill="1"/>
    <xf numFmtId="0" fontId="22" fillId="0" borderId="0" xfId="0" applyFont="1"/>
    <xf numFmtId="0" fontId="22" fillId="0" borderId="0" xfId="0" applyFont="1" applyAlignment="1">
      <alignment horizontal="center"/>
    </xf>
    <xf numFmtId="0" fontId="24" fillId="0" borderId="0" xfId="0" applyFont="1"/>
    <xf numFmtId="0" fontId="23" fillId="0" borderId="0" xfId="0" applyFont="1" applyAlignment="1">
      <alignment horizontal="center"/>
    </xf>
    <xf numFmtId="0" fontId="18" fillId="0" borderId="0" xfId="0" applyFont="1"/>
    <xf numFmtId="0" fontId="4" fillId="9" borderId="0" xfId="0" applyFont="1" applyFill="1" applyAlignment="1">
      <alignment horizontal="center"/>
    </xf>
    <xf numFmtId="0" fontId="10" fillId="13" borderId="0" xfId="0" applyFont="1" applyFill="1" applyAlignment="1">
      <alignment horizontal="center"/>
    </xf>
    <xf numFmtId="0" fontId="4" fillId="4" borderId="0" xfId="0" applyFont="1" applyFill="1"/>
    <xf numFmtId="0" fontId="8" fillId="4" borderId="0" xfId="0" applyFont="1" applyFill="1"/>
    <xf numFmtId="164" fontId="22" fillId="0" borderId="0" xfId="0" applyNumberFormat="1" applyFont="1" applyAlignment="1">
      <alignment horizontal="center"/>
    </xf>
    <xf numFmtId="164" fontId="23" fillId="0" borderId="0" xfId="0" applyNumberFormat="1" applyFont="1" applyAlignment="1">
      <alignment horizontal="center"/>
    </xf>
    <xf numFmtId="14" fontId="22" fillId="0" borderId="0" xfId="0" applyNumberFormat="1" applyFont="1" applyAlignment="1">
      <alignment horizontal="center"/>
    </xf>
    <xf numFmtId="0" fontId="7" fillId="4" borderId="0" xfId="0" applyFont="1" applyFill="1"/>
    <xf numFmtId="0" fontId="21" fillId="2" borderId="0" xfId="0" applyFont="1" applyFill="1"/>
    <xf numFmtId="0" fontId="21" fillId="2" borderId="0" xfId="0" applyFont="1" applyFill="1" applyAlignment="1">
      <alignment horizontal="center"/>
    </xf>
    <xf numFmtId="0" fontId="25" fillId="4" borderId="0" xfId="0" applyFont="1" applyFill="1"/>
    <xf numFmtId="0" fontId="26" fillId="0" borderId="0" xfId="0" applyFont="1"/>
    <xf numFmtId="0" fontId="27" fillId="4" borderId="0" xfId="0" applyFont="1" applyFill="1"/>
    <xf numFmtId="0" fontId="26" fillId="0" borderId="0" xfId="0" applyFont="1" applyAlignment="1">
      <alignment horizontal="center"/>
    </xf>
    <xf numFmtId="164" fontId="26" fillId="0" borderId="0" xfId="0" applyNumberFormat="1" applyFont="1" applyAlignment="1">
      <alignment horizontal="center"/>
    </xf>
    <xf numFmtId="0" fontId="28" fillId="0" borderId="0" xfId="0" applyFont="1"/>
    <xf numFmtId="1" fontId="28" fillId="0" borderId="0" xfId="0" applyNumberFormat="1" applyFont="1"/>
    <xf numFmtId="0" fontId="29" fillId="0" borderId="0" xfId="0" applyFont="1"/>
    <xf numFmtId="0" fontId="30" fillId="0" borderId="0" xfId="0" applyFont="1"/>
    <xf numFmtId="0" fontId="19" fillId="0" borderId="0" xfId="0" applyFont="1"/>
    <xf numFmtId="0" fontId="19" fillId="10" borderId="0" xfId="0" applyFont="1" applyFill="1"/>
    <xf numFmtId="0" fontId="31" fillId="2" borderId="0" xfId="0" applyFont="1" applyFill="1"/>
    <xf numFmtId="0" fontId="31" fillId="14" borderId="0" xfId="0" applyFont="1" applyFill="1"/>
    <xf numFmtId="0" fontId="31" fillId="3" borderId="0" xfId="0" applyFont="1" applyFill="1"/>
    <xf numFmtId="0" fontId="32" fillId="0" borderId="0" xfId="0" applyFont="1"/>
    <xf numFmtId="0" fontId="33" fillId="0" borderId="0" xfId="0" applyFont="1"/>
    <xf numFmtId="0" fontId="0" fillId="2" borderId="0" xfId="0" applyFill="1" applyAlignment="1">
      <alignment horizontal="center"/>
    </xf>
    <xf numFmtId="0" fontId="0" fillId="4" borderId="0" xfId="0" applyFill="1" applyAlignment="1">
      <alignment horizontal="center"/>
    </xf>
    <xf numFmtId="0" fontId="0" fillId="0" borderId="0" xfId="0" applyAlignment="1">
      <alignment horizontal="center"/>
    </xf>
    <xf numFmtId="0" fontId="4" fillId="4" borderId="0" xfId="0" applyFont="1" applyFill="1" applyAlignment="1">
      <alignment horizontal="center"/>
    </xf>
    <xf numFmtId="0" fontId="0" fillId="6" borderId="0" xfId="0" applyFill="1" applyAlignment="1">
      <alignment horizontal="center"/>
    </xf>
    <xf numFmtId="0" fontId="34" fillId="0" borderId="0" xfId="0" applyFont="1"/>
    <xf numFmtId="49" fontId="4" fillId="8" borderId="0" xfId="0" applyNumberFormat="1" applyFont="1" applyFill="1" applyAlignment="1">
      <alignment horizontal="center"/>
    </xf>
    <xf numFmtId="49" fontId="4" fillId="10" borderId="0" xfId="0" applyNumberFormat="1" applyFont="1" applyFill="1" applyAlignment="1">
      <alignment horizontal="center"/>
    </xf>
    <xf numFmtId="49" fontId="0" fillId="0" borderId="0" xfId="0" applyNumberFormat="1"/>
    <xf numFmtId="14" fontId="23" fillId="0" borderId="0" xfId="0" applyNumberFormat="1" applyFont="1" applyAlignment="1">
      <alignment horizontal="center"/>
    </xf>
    <xf numFmtId="14" fontId="28" fillId="0" borderId="0" xfId="0" applyNumberFormat="1" applyFont="1"/>
    <xf numFmtId="0" fontId="4" fillId="0" borderId="0" xfId="0" applyNumberFormat="1" applyFont="1" applyAlignment="1">
      <alignment horizontal="center"/>
    </xf>
    <xf numFmtId="0" fontId="15" fillId="0" borderId="0" xfId="0" applyNumberFormat="1" applyFont="1" applyAlignment="1">
      <alignment horizontal="center"/>
    </xf>
    <xf numFmtId="0" fontId="6" fillId="0" borderId="0" xfId="0" applyNumberFormat="1" applyFont="1" applyAlignment="1">
      <alignment horizontal="center"/>
    </xf>
    <xf numFmtId="0" fontId="5" fillId="4" borderId="0" xfId="0" applyNumberFormat="1" applyFont="1" applyFill="1" applyAlignment="1">
      <alignment horizontal="center"/>
    </xf>
    <xf numFmtId="0" fontId="0" fillId="0" borderId="0" xfId="0" applyNumberFormat="1"/>
    <xf numFmtId="0" fontId="17" fillId="3" borderId="0" xfId="0" applyFont="1" applyFill="1"/>
    <xf numFmtId="0" fontId="12" fillId="15" borderId="0" xfId="0" applyFont="1" applyFill="1"/>
    <xf numFmtId="1" fontId="0" fillId="0" borderId="0" xfId="0" applyNumberFormat="1"/>
    <xf numFmtId="1" fontId="31" fillId="14" borderId="0" xfId="0" applyNumberFormat="1" applyFont="1" applyFill="1" applyAlignment="1">
      <alignment horizontal="center"/>
    </xf>
    <xf numFmtId="1" fontId="31" fillId="3" borderId="0" xfId="0" applyNumberFormat="1" applyFont="1" applyFill="1" applyAlignment="1">
      <alignment horizontal="center"/>
    </xf>
    <xf numFmtId="14" fontId="31" fillId="14" borderId="0" xfId="0" applyNumberFormat="1" applyFont="1" applyFill="1" applyAlignment="1">
      <alignment horizontal="center"/>
    </xf>
    <xf numFmtId="14" fontId="31" fillId="3" borderId="0" xfId="0" applyNumberFormat="1" applyFont="1" applyFill="1" applyAlignment="1">
      <alignment horizontal="center"/>
    </xf>
    <xf numFmtId="14" fontId="5" fillId="4" borderId="0" xfId="0" applyNumberFormat="1" applyFont="1" applyFill="1" applyAlignment="1">
      <alignment horizontal="center"/>
    </xf>
    <xf numFmtId="14" fontId="15" fillId="0" borderId="0" xfId="0" applyNumberFormat="1" applyFont="1" applyAlignment="1">
      <alignment horizontal="center"/>
    </xf>
    <xf numFmtId="14" fontId="6" fillId="0" borderId="0" xfId="0" applyNumberFormat="1" applyFont="1" applyAlignment="1">
      <alignment horizontal="center"/>
    </xf>
    <xf numFmtId="14" fontId="31" fillId="2" borderId="0" xfId="0" applyNumberFormat="1" applyFont="1" applyFill="1" applyAlignment="1">
      <alignment horizontal="center"/>
    </xf>
    <xf numFmtId="0" fontId="35" fillId="0" borderId="0" xfId="0" applyFont="1"/>
    <xf numFmtId="0" fontId="36" fillId="0" borderId="0" xfId="0" applyFont="1"/>
    <xf numFmtId="0" fontId="37" fillId="0" borderId="0" xfId="0" applyFont="1"/>
    <xf numFmtId="22" fontId="0" fillId="0" borderId="0" xfId="0" applyNumberFormat="1"/>
    <xf numFmtId="0" fontId="38" fillId="0" borderId="0" xfId="0" applyFont="1"/>
    <xf numFmtId="0" fontId="12" fillId="2" borderId="0" xfId="0" applyFont="1" applyFill="1"/>
    <xf numFmtId="0" fontId="1" fillId="10" borderId="0" xfId="0" applyFont="1" applyFill="1"/>
    <xf numFmtId="0" fontId="12" fillId="14" borderId="0" xfId="0" applyFont="1" applyFill="1"/>
    <xf numFmtId="0" fontId="12" fillId="11" borderId="0" xfId="0" applyFont="1" applyFill="1"/>
    <xf numFmtId="0" fontId="39" fillId="0" borderId="0" xfId="0" applyFont="1"/>
    <xf numFmtId="0" fontId="2" fillId="10" borderId="0" xfId="0" applyFont="1" applyFill="1"/>
    <xf numFmtId="0" fontId="40" fillId="0" borderId="0" xfId="0" applyFont="1"/>
    <xf numFmtId="0" fontId="4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E74C8B"/>
                </a:solidFill>
                <a:latin typeface="+mn-lt"/>
                <a:ea typeface="+mn-ea"/>
                <a:cs typeface="+mn-cs"/>
              </a:defRPr>
            </a:pPr>
            <a:r>
              <a:rPr lang="en-US"/>
              <a:t>🎠 Claudeane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E74C8B"/>
              </a:solidFill>
              <a:latin typeface="+mn-lt"/>
              <a:ea typeface="+mn-ea"/>
              <a:cs typeface="+mn-cs"/>
            </a:defRPr>
          </a:pPr>
          <a:endParaRPr lang="fr-FR"/>
        </a:p>
      </c:txPr>
    </c:title>
    <c:autoTitleDeleted val="0"/>
    <c:plotArea>
      <c:layout/>
      <c:barChart>
        <c:barDir val="bar"/>
        <c:grouping val="stacked"/>
        <c:varyColors val="0"/>
        <c:ser>
          <c:idx val="0"/>
          <c:order val="0"/>
          <c:tx>
            <c:strRef>
              <c:f>'📊 Timeline Gantt (2)'!$J$3</c:f>
              <c:strCache>
                <c:ptCount val="1"/>
                <c:pt idx="0">
                  <c:v>Début</c:v>
                </c:pt>
              </c:strCache>
            </c:strRef>
          </c:tx>
          <c:spPr>
            <a:noFill/>
            <a:ln>
              <a:noFill/>
            </a:ln>
            <a:effectLst/>
          </c:spPr>
          <c:invertIfNegative val="0"/>
          <c:cat>
            <c:strRef>
              <c:f>'📊 Timeline Gantt (2)'!$I$4:$I$14</c:f>
              <c:strCache>
                <c:ptCount val="11"/>
                <c:pt idx="0">
                  <c:v>✈ GVA→SP</c:v>
                </c:pt>
                <c:pt idx="1">
                  <c:v>🏨 Free Palace (3n)</c:v>
                </c:pt>
                <c:pt idx="2">
                  <c:v>📍 Chez fille SP</c:v>
                </c:pt>
                <c:pt idx="3">
                  <c:v>✈ VCP→Ourilândia</c:v>
                </c:pt>
                <c:pt idx="4">
                  <c:v>📍 Ourilândia (17j)</c:v>
                </c:pt>
                <c:pt idx="5">
                  <c:v>✈ MAB→BEL→FOR</c:v>
                </c:pt>
                <c:pt idx="6">
                  <c:v>🏨 Encontro Sol (2n)</c:v>
                </c:pt>
                <c:pt idx="7">
                  <c:v>🏖 ASAS Canoa (3n)</c:v>
                </c:pt>
                <c:pt idx="8">
                  <c:v>⚠ TROU 6n!</c:v>
                </c:pt>
                <c:pt idx="9">
                  <c:v>✈ FOR→GVA</c:v>
                </c:pt>
                <c:pt idx="10">
                  <c:v>🚌 Luc.+Jh. bus</c:v>
                </c:pt>
              </c:strCache>
            </c:strRef>
          </c:cat>
          <c:val>
            <c:numRef>
              <c:f>'📊 Timeline Gantt (2)'!$J$4:$J$14</c:f>
              <c:numCache>
                <c:formatCode>m/d/yyyy</c:formatCode>
                <c:ptCount val="11"/>
                <c:pt idx="0">
                  <c:v>46139</c:v>
                </c:pt>
                <c:pt idx="1">
                  <c:v>46139</c:v>
                </c:pt>
                <c:pt idx="2">
                  <c:v>46142</c:v>
                </c:pt>
                <c:pt idx="3">
                  <c:v>46149</c:v>
                </c:pt>
                <c:pt idx="4">
                  <c:v>46150</c:v>
                </c:pt>
                <c:pt idx="5">
                  <c:v>46167</c:v>
                </c:pt>
                <c:pt idx="6">
                  <c:v>46167</c:v>
                </c:pt>
                <c:pt idx="7">
                  <c:v>46169</c:v>
                </c:pt>
                <c:pt idx="8">
                  <c:v>46172</c:v>
                </c:pt>
                <c:pt idx="9">
                  <c:v>46178</c:v>
                </c:pt>
                <c:pt idx="10">
                  <c:v>46179</c:v>
                </c:pt>
              </c:numCache>
            </c:numRef>
          </c:val>
          <c:extLst>
            <c:ext xmlns:c16="http://schemas.microsoft.com/office/drawing/2014/chart" uri="{C3380CC4-5D6E-409C-BE32-E72D297353CC}">
              <c16:uniqueId val="{00000000-F4F3-4C8F-92B5-EA917D1190F4}"/>
            </c:ext>
          </c:extLst>
        </c:ser>
        <c:ser>
          <c:idx val="1"/>
          <c:order val="1"/>
          <c:tx>
            <c:strRef>
              <c:f>'📊 Timeline Gantt (2)'!$K$3</c:f>
              <c:strCache>
                <c:ptCount val="1"/>
                <c:pt idx="0">
                  <c:v>Durée</c:v>
                </c:pt>
              </c:strCache>
            </c:strRef>
          </c:tx>
          <c:spPr>
            <a:solidFill>
              <a:srgbClr val="E74C8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Timeline Gantt (2)'!$I$4:$I$14</c:f>
              <c:strCache>
                <c:ptCount val="11"/>
                <c:pt idx="0">
                  <c:v>✈ GVA→SP</c:v>
                </c:pt>
                <c:pt idx="1">
                  <c:v>🏨 Free Palace (3n)</c:v>
                </c:pt>
                <c:pt idx="2">
                  <c:v>📍 Chez fille SP</c:v>
                </c:pt>
                <c:pt idx="3">
                  <c:v>✈ VCP→Ourilândia</c:v>
                </c:pt>
                <c:pt idx="4">
                  <c:v>📍 Ourilândia (17j)</c:v>
                </c:pt>
                <c:pt idx="5">
                  <c:v>✈ MAB→BEL→FOR</c:v>
                </c:pt>
                <c:pt idx="6">
                  <c:v>🏨 Encontro Sol (2n)</c:v>
                </c:pt>
                <c:pt idx="7">
                  <c:v>🏖 ASAS Canoa (3n)</c:v>
                </c:pt>
                <c:pt idx="8">
                  <c:v>⚠ TROU 6n!</c:v>
                </c:pt>
                <c:pt idx="9">
                  <c:v>✈ FOR→GVA</c:v>
                </c:pt>
                <c:pt idx="10">
                  <c:v>🚌 Luc.+Jh. bus</c:v>
                </c:pt>
              </c:strCache>
            </c:strRef>
          </c:cat>
          <c:val>
            <c:numRef>
              <c:f>'📊 Timeline Gantt (2)'!$K$4:$K$14</c:f>
              <c:numCache>
                <c:formatCode>0</c:formatCode>
                <c:ptCount val="11"/>
                <c:pt idx="0">
                  <c:v>2</c:v>
                </c:pt>
                <c:pt idx="1">
                  <c:v>3</c:v>
                </c:pt>
                <c:pt idx="2">
                  <c:v>7</c:v>
                </c:pt>
                <c:pt idx="3">
                  <c:v>2</c:v>
                </c:pt>
                <c:pt idx="4">
                  <c:v>17</c:v>
                </c:pt>
                <c:pt idx="5">
                  <c:v>1</c:v>
                </c:pt>
                <c:pt idx="6">
                  <c:v>2</c:v>
                </c:pt>
                <c:pt idx="7">
                  <c:v>3</c:v>
                </c:pt>
                <c:pt idx="8">
                  <c:v>6</c:v>
                </c:pt>
                <c:pt idx="9">
                  <c:v>2</c:v>
                </c:pt>
                <c:pt idx="10">
                  <c:v>3</c:v>
                </c:pt>
              </c:numCache>
            </c:numRef>
          </c:val>
          <c:extLst>
            <c:ext xmlns:c16="http://schemas.microsoft.com/office/drawing/2014/chart" uri="{C3380CC4-5D6E-409C-BE32-E72D297353CC}">
              <c16:uniqueId val="{00000001-F4F3-4C8F-92B5-EA917D1190F4}"/>
            </c:ext>
          </c:extLst>
        </c:ser>
        <c:dLbls>
          <c:showLegendKey val="0"/>
          <c:showVal val="0"/>
          <c:showCatName val="0"/>
          <c:showSerName val="0"/>
          <c:showPercent val="0"/>
          <c:showBubbleSize val="0"/>
        </c:dLbls>
        <c:gapWidth val="50"/>
        <c:overlap val="100"/>
        <c:axId val="285707568"/>
        <c:axId val="285695568"/>
      </c:barChart>
      <c:catAx>
        <c:axId val="28570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fr-FR"/>
          </a:p>
        </c:txPr>
        <c:crossAx val="285695568"/>
        <c:crosses val="autoZero"/>
        <c:auto val="1"/>
        <c:lblAlgn val="ctr"/>
        <c:lblOffset val="100"/>
        <c:noMultiLvlLbl val="0"/>
      </c:catAx>
      <c:valAx>
        <c:axId val="285695568"/>
        <c:scaling>
          <c:orientation val="minMax"/>
          <c:max val="46182"/>
          <c:min val="46139"/>
        </c:scaling>
        <c:delete val="0"/>
        <c:axPos val="b"/>
        <c:majorGridlines>
          <c:spPr>
            <a:ln w="9525" cap="flat" cmpd="sng" algn="ctr">
              <a:solidFill>
                <a:schemeClr val="tx1">
                  <a:lumMod val="15000"/>
                  <a:lumOff val="85000"/>
                </a:schemeClr>
              </a:solidFill>
              <a:round/>
            </a:ln>
            <a:effectLst/>
          </c:spPr>
        </c:majorGridlines>
        <c:numFmt formatCode="dd/m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85707568"/>
        <c:crosses val="autoZero"/>
        <c:crossBetween val="between"/>
        <c:majorUnit val="7"/>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2E75B6"/>
                </a:solidFill>
                <a:latin typeface="+mn-lt"/>
                <a:ea typeface="+mn-ea"/>
                <a:cs typeface="+mn-cs"/>
              </a:defRPr>
            </a:pPr>
            <a:r>
              <a:rPr lang="en-US"/>
              <a:t>👔 Claudio</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2E75B6"/>
              </a:solidFill>
              <a:latin typeface="+mn-lt"/>
              <a:ea typeface="+mn-ea"/>
              <a:cs typeface="+mn-cs"/>
            </a:defRPr>
          </a:pPr>
          <a:endParaRPr lang="fr-FR"/>
        </a:p>
      </c:txPr>
    </c:title>
    <c:autoTitleDeleted val="0"/>
    <c:plotArea>
      <c:layout/>
      <c:barChart>
        <c:barDir val="bar"/>
        <c:grouping val="stacked"/>
        <c:varyColors val="0"/>
        <c:ser>
          <c:idx val="0"/>
          <c:order val="0"/>
          <c:tx>
            <c:strRef>
              <c:f>'📊 Timeline Gantt (2)'!$N$3</c:f>
              <c:strCache>
                <c:ptCount val="1"/>
                <c:pt idx="0">
                  <c:v>Début</c:v>
                </c:pt>
              </c:strCache>
            </c:strRef>
          </c:tx>
          <c:spPr>
            <a:noFill/>
            <a:ln>
              <a:noFill/>
            </a:ln>
            <a:effectLst/>
          </c:spPr>
          <c:invertIfNegative val="0"/>
          <c:cat>
            <c:strRef>
              <c:f>'📊 Timeline Gantt (2)'!$M$4:$M$11</c:f>
              <c:strCache>
                <c:ptCount val="8"/>
                <c:pt idx="0">
                  <c:v>✈ GVA→FOR</c:v>
                </c:pt>
                <c:pt idx="1">
                  <c:v>🚗 Localiza SUV (13j)</c:v>
                </c:pt>
                <c:pt idx="2">
                  <c:v>🏨 Maly Boutique (2n)</c:v>
                </c:pt>
                <c:pt idx="3">
                  <c:v>🏨 Encontro Sol (2n)</c:v>
                </c:pt>
                <c:pt idx="4">
                  <c:v>🏖 ASAS Canoa (3n)</c:v>
                </c:pt>
                <c:pt idx="5">
                  <c:v>⚠ TROU 6n!</c:v>
                </c:pt>
                <c:pt idx="6">
                  <c:v>🚗 Retour Localiza</c:v>
                </c:pt>
                <c:pt idx="7">
                  <c:v>✈ FOR→GVA</c:v>
                </c:pt>
              </c:strCache>
            </c:strRef>
          </c:cat>
          <c:val>
            <c:numRef>
              <c:f>'📊 Timeline Gantt (2)'!$N$4:$N$11</c:f>
              <c:numCache>
                <c:formatCode>m/d/yyyy</c:formatCode>
                <c:ptCount val="8"/>
                <c:pt idx="0">
                  <c:v>46165</c:v>
                </c:pt>
                <c:pt idx="1">
                  <c:v>46165</c:v>
                </c:pt>
                <c:pt idx="2">
                  <c:v>46165</c:v>
                </c:pt>
                <c:pt idx="3">
                  <c:v>46167</c:v>
                </c:pt>
                <c:pt idx="4">
                  <c:v>46169</c:v>
                </c:pt>
                <c:pt idx="5">
                  <c:v>46172</c:v>
                </c:pt>
                <c:pt idx="6">
                  <c:v>46178</c:v>
                </c:pt>
                <c:pt idx="7">
                  <c:v>46178</c:v>
                </c:pt>
              </c:numCache>
            </c:numRef>
          </c:val>
          <c:extLst>
            <c:ext xmlns:c16="http://schemas.microsoft.com/office/drawing/2014/chart" uri="{C3380CC4-5D6E-409C-BE32-E72D297353CC}">
              <c16:uniqueId val="{00000000-0E6A-4095-A4B1-F829B7DC0B89}"/>
            </c:ext>
          </c:extLst>
        </c:ser>
        <c:ser>
          <c:idx val="1"/>
          <c:order val="1"/>
          <c:tx>
            <c:strRef>
              <c:f>'📊 Timeline Gantt (2)'!$O$3</c:f>
              <c:strCache>
                <c:ptCount val="1"/>
                <c:pt idx="0">
                  <c:v>Durée</c:v>
                </c:pt>
              </c:strCache>
            </c:strRef>
          </c:tx>
          <c:spPr>
            <a:solidFill>
              <a:srgbClr val="2E75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Timeline Gantt (2)'!$M$4:$M$11</c:f>
              <c:strCache>
                <c:ptCount val="8"/>
                <c:pt idx="0">
                  <c:v>✈ GVA→FOR</c:v>
                </c:pt>
                <c:pt idx="1">
                  <c:v>🚗 Localiza SUV (13j)</c:v>
                </c:pt>
                <c:pt idx="2">
                  <c:v>🏨 Maly Boutique (2n)</c:v>
                </c:pt>
                <c:pt idx="3">
                  <c:v>🏨 Encontro Sol (2n)</c:v>
                </c:pt>
                <c:pt idx="4">
                  <c:v>🏖 ASAS Canoa (3n)</c:v>
                </c:pt>
                <c:pt idx="5">
                  <c:v>⚠ TROU 6n!</c:v>
                </c:pt>
                <c:pt idx="6">
                  <c:v>🚗 Retour Localiza</c:v>
                </c:pt>
                <c:pt idx="7">
                  <c:v>✈ FOR→GVA</c:v>
                </c:pt>
              </c:strCache>
            </c:strRef>
          </c:cat>
          <c:val>
            <c:numRef>
              <c:f>'📊 Timeline Gantt (2)'!$O$4:$O$11</c:f>
              <c:numCache>
                <c:formatCode>0</c:formatCode>
                <c:ptCount val="8"/>
                <c:pt idx="0">
                  <c:v>1</c:v>
                </c:pt>
                <c:pt idx="1">
                  <c:v>13</c:v>
                </c:pt>
                <c:pt idx="2">
                  <c:v>2</c:v>
                </c:pt>
                <c:pt idx="3">
                  <c:v>2</c:v>
                </c:pt>
                <c:pt idx="4">
                  <c:v>3</c:v>
                </c:pt>
                <c:pt idx="5">
                  <c:v>6</c:v>
                </c:pt>
                <c:pt idx="6">
                  <c:v>1</c:v>
                </c:pt>
                <c:pt idx="7">
                  <c:v>2</c:v>
                </c:pt>
              </c:numCache>
            </c:numRef>
          </c:val>
          <c:extLst>
            <c:ext xmlns:c16="http://schemas.microsoft.com/office/drawing/2014/chart" uri="{C3380CC4-5D6E-409C-BE32-E72D297353CC}">
              <c16:uniqueId val="{00000001-0E6A-4095-A4B1-F829B7DC0B89}"/>
            </c:ext>
          </c:extLst>
        </c:ser>
        <c:dLbls>
          <c:showLegendKey val="0"/>
          <c:showVal val="0"/>
          <c:showCatName val="0"/>
          <c:showSerName val="0"/>
          <c:showPercent val="0"/>
          <c:showBubbleSize val="0"/>
        </c:dLbls>
        <c:gapWidth val="50"/>
        <c:overlap val="100"/>
        <c:axId val="285709488"/>
        <c:axId val="285709968"/>
      </c:barChart>
      <c:catAx>
        <c:axId val="28570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fr-FR"/>
          </a:p>
        </c:txPr>
        <c:crossAx val="285709968"/>
        <c:crosses val="autoZero"/>
        <c:auto val="1"/>
        <c:lblAlgn val="ctr"/>
        <c:lblOffset val="100"/>
        <c:noMultiLvlLbl val="0"/>
      </c:catAx>
      <c:valAx>
        <c:axId val="285709968"/>
        <c:scaling>
          <c:orientation val="minMax"/>
          <c:max val="46182"/>
          <c:min val="46139"/>
        </c:scaling>
        <c:delete val="0"/>
        <c:axPos val="b"/>
        <c:majorGridlines>
          <c:spPr>
            <a:ln w="9525" cap="flat" cmpd="sng" algn="ctr">
              <a:solidFill>
                <a:schemeClr val="tx1">
                  <a:lumMod val="15000"/>
                  <a:lumOff val="85000"/>
                </a:schemeClr>
              </a:solidFill>
              <a:round/>
            </a:ln>
            <a:effectLst/>
          </c:spPr>
        </c:majorGridlines>
        <c:numFmt formatCode="dd/m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85709488"/>
        <c:crosses val="autoZero"/>
        <c:crossBetween val="between"/>
        <c:majorUnit val="7"/>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 GANTT VOYAGE BRÉSIL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stacked"/>
        <c:varyColors val="0"/>
        <c:ser>
          <c:idx val="0"/>
          <c:order val="0"/>
          <c:tx>
            <c:strRef>
              <c:f>'📊 Timeline Gantt'!$J$3</c:f>
              <c:strCache>
                <c:ptCount val="1"/>
                <c:pt idx="0">
                  <c:v>Début</c:v>
                </c:pt>
              </c:strCache>
            </c:strRef>
          </c:tx>
          <c:spPr>
            <a:noFill/>
            <a:ln>
              <a:noFill/>
            </a:ln>
            <a:effectLst/>
          </c:spPr>
          <c:invertIfNegative val="0"/>
          <c:cat>
            <c:strRef>
              <c:f>'📊 Timeline Gantt'!$I$4:$I$17</c:f>
              <c:strCache>
                <c:ptCount val="14"/>
                <c:pt idx="0">
                  <c:v>✈ GVA→SP</c:v>
                </c:pt>
                <c:pt idx="1">
                  <c:v>🏨 Free Palace (3n)</c:v>
                </c:pt>
                <c:pt idx="2">
                  <c:v>📍 Chez fille SP</c:v>
                </c:pt>
                <c:pt idx="3">
                  <c:v>✈ VCP→Ourilândia</c:v>
                </c:pt>
                <c:pt idx="4">
                  <c:v>📍 Ourilândia (famille)</c:v>
                </c:pt>
                <c:pt idx="5">
                  <c:v>✈ GVA→FOR</c:v>
                </c:pt>
                <c:pt idx="6">
                  <c:v>🚗 Localiza SUV (13j)</c:v>
                </c:pt>
                <c:pt idx="7">
                  <c:v>🏨 Maly Boutique (2n)</c:v>
                </c:pt>
                <c:pt idx="8">
                  <c:v>✈ MAB→BEL→FOR</c:v>
                </c:pt>
                <c:pt idx="9">
                  <c:v>🏨 Encontro Sol (2n)</c:v>
                </c:pt>
                <c:pt idx="10">
                  <c:v>🏖 ASAS Canoa (3n)</c:v>
                </c:pt>
                <c:pt idx="11">
                  <c:v>⚠ TROU HÉBERG. (6n!)</c:v>
                </c:pt>
                <c:pt idx="12">
                  <c:v>✈ FOR→GVA retour</c:v>
                </c:pt>
                <c:pt idx="13">
                  <c:v>🚌 Luc.+Jh. bus</c:v>
                </c:pt>
              </c:strCache>
            </c:strRef>
          </c:cat>
          <c:val>
            <c:numRef>
              <c:f>'📊 Timeline Gantt'!$J$4:$J$17</c:f>
              <c:numCache>
                <c:formatCode>m/d/yyyy</c:formatCode>
                <c:ptCount val="14"/>
                <c:pt idx="0">
                  <c:v>46139</c:v>
                </c:pt>
                <c:pt idx="1">
                  <c:v>46139</c:v>
                </c:pt>
                <c:pt idx="2">
                  <c:v>46142</c:v>
                </c:pt>
                <c:pt idx="3">
                  <c:v>46149</c:v>
                </c:pt>
                <c:pt idx="4">
                  <c:v>46150</c:v>
                </c:pt>
                <c:pt idx="5">
                  <c:v>46165</c:v>
                </c:pt>
                <c:pt idx="6">
                  <c:v>46165</c:v>
                </c:pt>
                <c:pt idx="7">
                  <c:v>46165</c:v>
                </c:pt>
                <c:pt idx="8">
                  <c:v>46167</c:v>
                </c:pt>
                <c:pt idx="9">
                  <c:v>46167</c:v>
                </c:pt>
                <c:pt idx="10">
                  <c:v>46169</c:v>
                </c:pt>
                <c:pt idx="11">
                  <c:v>46172</c:v>
                </c:pt>
                <c:pt idx="12">
                  <c:v>46178</c:v>
                </c:pt>
                <c:pt idx="13">
                  <c:v>46179</c:v>
                </c:pt>
              </c:numCache>
            </c:numRef>
          </c:val>
          <c:extLst>
            <c:ext xmlns:c16="http://schemas.microsoft.com/office/drawing/2014/chart" uri="{C3380CC4-5D6E-409C-BE32-E72D297353CC}">
              <c16:uniqueId val="{00000000-06AF-4606-92AD-A025FDD35758}"/>
            </c:ext>
          </c:extLst>
        </c:ser>
        <c:ser>
          <c:idx val="1"/>
          <c:order val="1"/>
          <c:tx>
            <c:strRef>
              <c:f>'📊 Timeline Gantt'!$K$3</c:f>
              <c:strCache>
                <c:ptCount val="1"/>
                <c:pt idx="0">
                  <c:v>Claudeane</c:v>
                </c:pt>
              </c:strCache>
            </c:strRef>
          </c:tx>
          <c:spPr>
            <a:solidFill>
              <a:srgbClr val="E74C8B"/>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Timeline Gantt'!$I$4:$I$17</c:f>
              <c:strCache>
                <c:ptCount val="14"/>
                <c:pt idx="0">
                  <c:v>✈ GVA→SP</c:v>
                </c:pt>
                <c:pt idx="1">
                  <c:v>🏨 Free Palace (3n)</c:v>
                </c:pt>
                <c:pt idx="2">
                  <c:v>📍 Chez fille SP</c:v>
                </c:pt>
                <c:pt idx="3">
                  <c:v>✈ VCP→Ourilândia</c:v>
                </c:pt>
                <c:pt idx="4">
                  <c:v>📍 Ourilândia (famille)</c:v>
                </c:pt>
                <c:pt idx="5">
                  <c:v>✈ GVA→FOR</c:v>
                </c:pt>
                <c:pt idx="6">
                  <c:v>🚗 Localiza SUV (13j)</c:v>
                </c:pt>
                <c:pt idx="7">
                  <c:v>🏨 Maly Boutique (2n)</c:v>
                </c:pt>
                <c:pt idx="8">
                  <c:v>✈ MAB→BEL→FOR</c:v>
                </c:pt>
                <c:pt idx="9">
                  <c:v>🏨 Encontro Sol (2n)</c:v>
                </c:pt>
                <c:pt idx="10">
                  <c:v>🏖 ASAS Canoa (3n)</c:v>
                </c:pt>
                <c:pt idx="11">
                  <c:v>⚠ TROU HÉBERG. (6n!)</c:v>
                </c:pt>
                <c:pt idx="12">
                  <c:v>✈ FOR→GVA retour</c:v>
                </c:pt>
                <c:pt idx="13">
                  <c:v>🚌 Luc.+Jh. bus</c:v>
                </c:pt>
              </c:strCache>
            </c:strRef>
          </c:cat>
          <c:val>
            <c:numRef>
              <c:f>'📊 Timeline Gantt'!$K$4:$K$17</c:f>
              <c:numCache>
                <c:formatCode>0</c:formatCode>
                <c:ptCount val="14"/>
                <c:pt idx="0">
                  <c:v>2</c:v>
                </c:pt>
                <c:pt idx="1">
                  <c:v>3</c:v>
                </c:pt>
                <c:pt idx="2">
                  <c:v>7</c:v>
                </c:pt>
                <c:pt idx="3">
                  <c:v>2</c:v>
                </c:pt>
                <c:pt idx="4">
                  <c:v>17</c:v>
                </c:pt>
                <c:pt idx="5">
                  <c:v>0</c:v>
                </c:pt>
                <c:pt idx="6">
                  <c:v>0</c:v>
                </c:pt>
                <c:pt idx="7">
                  <c:v>0</c:v>
                </c:pt>
                <c:pt idx="8">
                  <c:v>1</c:v>
                </c:pt>
                <c:pt idx="9">
                  <c:v>2</c:v>
                </c:pt>
                <c:pt idx="10">
                  <c:v>3</c:v>
                </c:pt>
                <c:pt idx="11">
                  <c:v>6</c:v>
                </c:pt>
                <c:pt idx="12">
                  <c:v>2</c:v>
                </c:pt>
                <c:pt idx="13">
                  <c:v>3</c:v>
                </c:pt>
              </c:numCache>
            </c:numRef>
          </c:val>
          <c:extLst>
            <c:ext xmlns:c16="http://schemas.microsoft.com/office/drawing/2014/chart" uri="{C3380CC4-5D6E-409C-BE32-E72D297353CC}">
              <c16:uniqueId val="{00000001-06AF-4606-92AD-A025FDD35758}"/>
            </c:ext>
          </c:extLst>
        </c:ser>
        <c:ser>
          <c:idx val="2"/>
          <c:order val="2"/>
          <c:tx>
            <c:strRef>
              <c:f>'📊 Timeline Gantt'!$L$3</c:f>
              <c:strCache>
                <c:ptCount val="1"/>
                <c:pt idx="0">
                  <c:v>Claudio</c:v>
                </c:pt>
              </c:strCache>
            </c:strRef>
          </c:tx>
          <c:spPr>
            <a:solidFill>
              <a:srgbClr val="2E75B6"/>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Timeline Gantt'!$I$4:$I$17</c:f>
              <c:strCache>
                <c:ptCount val="14"/>
                <c:pt idx="0">
                  <c:v>✈ GVA→SP</c:v>
                </c:pt>
                <c:pt idx="1">
                  <c:v>🏨 Free Palace (3n)</c:v>
                </c:pt>
                <c:pt idx="2">
                  <c:v>📍 Chez fille SP</c:v>
                </c:pt>
                <c:pt idx="3">
                  <c:v>✈ VCP→Ourilândia</c:v>
                </c:pt>
                <c:pt idx="4">
                  <c:v>📍 Ourilândia (famille)</c:v>
                </c:pt>
                <c:pt idx="5">
                  <c:v>✈ GVA→FOR</c:v>
                </c:pt>
                <c:pt idx="6">
                  <c:v>🚗 Localiza SUV (13j)</c:v>
                </c:pt>
                <c:pt idx="7">
                  <c:v>🏨 Maly Boutique (2n)</c:v>
                </c:pt>
                <c:pt idx="8">
                  <c:v>✈ MAB→BEL→FOR</c:v>
                </c:pt>
                <c:pt idx="9">
                  <c:v>🏨 Encontro Sol (2n)</c:v>
                </c:pt>
                <c:pt idx="10">
                  <c:v>🏖 ASAS Canoa (3n)</c:v>
                </c:pt>
                <c:pt idx="11">
                  <c:v>⚠ TROU HÉBERG. (6n!)</c:v>
                </c:pt>
                <c:pt idx="12">
                  <c:v>✈ FOR→GVA retour</c:v>
                </c:pt>
                <c:pt idx="13">
                  <c:v>🚌 Luc.+Jh. bus</c:v>
                </c:pt>
              </c:strCache>
            </c:strRef>
          </c:cat>
          <c:val>
            <c:numRef>
              <c:f>'📊 Timeline Gantt'!$L$4:$L$17</c:f>
              <c:numCache>
                <c:formatCode>0</c:formatCode>
                <c:ptCount val="14"/>
                <c:pt idx="0">
                  <c:v>0</c:v>
                </c:pt>
                <c:pt idx="1">
                  <c:v>0</c:v>
                </c:pt>
                <c:pt idx="2">
                  <c:v>0</c:v>
                </c:pt>
                <c:pt idx="3">
                  <c:v>0</c:v>
                </c:pt>
                <c:pt idx="4">
                  <c:v>0</c:v>
                </c:pt>
                <c:pt idx="5">
                  <c:v>1</c:v>
                </c:pt>
                <c:pt idx="6">
                  <c:v>13</c:v>
                </c:pt>
                <c:pt idx="7">
                  <c:v>2</c:v>
                </c:pt>
                <c:pt idx="8">
                  <c:v>0</c:v>
                </c:pt>
                <c:pt idx="9">
                  <c:v>2</c:v>
                </c:pt>
                <c:pt idx="10">
                  <c:v>3</c:v>
                </c:pt>
                <c:pt idx="11">
                  <c:v>6</c:v>
                </c:pt>
                <c:pt idx="12">
                  <c:v>2</c:v>
                </c:pt>
                <c:pt idx="13">
                  <c:v>0</c:v>
                </c:pt>
              </c:numCache>
            </c:numRef>
          </c:val>
          <c:extLst>
            <c:ext xmlns:c16="http://schemas.microsoft.com/office/drawing/2014/chart" uri="{C3380CC4-5D6E-409C-BE32-E72D297353CC}">
              <c16:uniqueId val="{00000002-06AF-4606-92AD-A025FDD35758}"/>
            </c:ext>
          </c:extLst>
        </c:ser>
        <c:dLbls>
          <c:showLegendKey val="0"/>
          <c:showVal val="0"/>
          <c:showCatName val="0"/>
          <c:showSerName val="0"/>
          <c:showPercent val="0"/>
          <c:showBubbleSize val="0"/>
        </c:dLbls>
        <c:gapWidth val="80"/>
        <c:overlap val="100"/>
        <c:axId val="205518784"/>
        <c:axId val="205519264"/>
      </c:barChart>
      <c:catAx>
        <c:axId val="20551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fr-FR"/>
          </a:p>
        </c:txPr>
        <c:crossAx val="205519264"/>
        <c:crosses val="autoZero"/>
        <c:auto val="1"/>
        <c:lblAlgn val="ctr"/>
        <c:lblOffset val="100"/>
        <c:noMultiLvlLbl val="0"/>
      </c:catAx>
      <c:valAx>
        <c:axId val="205519264"/>
        <c:scaling>
          <c:orientation val="minMax"/>
          <c:max val="46182"/>
          <c:min val="46139"/>
        </c:scaling>
        <c:delete val="0"/>
        <c:axPos val="b"/>
        <c:majorGridlines>
          <c:spPr>
            <a:ln w="9525" cap="flat" cmpd="sng" algn="ctr">
              <a:solidFill>
                <a:schemeClr val="tx1">
                  <a:lumMod val="15000"/>
                  <a:lumOff val="85000"/>
                </a:schemeClr>
              </a:solidFill>
              <a:round/>
            </a:ln>
            <a:effectLst/>
          </c:spPr>
        </c:majorGridlines>
        <c:numFmt formatCode="dd/m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518784"/>
        <c:crosses val="autoZero"/>
        <c:crossBetween val="between"/>
        <c:majorUnit val="7"/>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258445</xdr:colOff>
      <xdr:row>18</xdr:row>
      <xdr:rowOff>3175</xdr:rowOff>
    </xdr:from>
    <xdr:to>
      <xdr:col>18</xdr:col>
      <xdr:colOff>768350</xdr:colOff>
      <xdr:row>40</xdr:row>
      <xdr:rowOff>78105</xdr:rowOff>
    </xdr:to>
    <xdr:graphicFrame macro="">
      <xdr:nvGraphicFramePr>
        <xdr:cNvPr id="2" name="Graphique 1">
          <a:extLst>
            <a:ext uri="{FF2B5EF4-FFF2-40B4-BE49-F238E27FC236}">
              <a16:creationId xmlns:a16="http://schemas.microsoft.com/office/drawing/2014/main" id="{5D0E9616-036F-4269-84C6-83952FD17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266065</xdr:colOff>
      <xdr:row>40</xdr:row>
      <xdr:rowOff>85090</xdr:rowOff>
    </xdr:from>
    <xdr:to>
      <xdr:col>18</xdr:col>
      <xdr:colOff>781685</xdr:colOff>
      <xdr:row>60</xdr:row>
      <xdr:rowOff>6350</xdr:rowOff>
    </xdr:to>
    <xdr:graphicFrame macro="">
      <xdr:nvGraphicFramePr>
        <xdr:cNvPr id="3" name="Graphique 2">
          <a:extLst>
            <a:ext uri="{FF2B5EF4-FFF2-40B4-BE49-F238E27FC236}">
              <a16:creationId xmlns:a16="http://schemas.microsoft.com/office/drawing/2014/main" id="{36317C97-5D66-47FC-A6F5-5DC58A8E8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95543</xdr:colOff>
      <xdr:row>22</xdr:row>
      <xdr:rowOff>59201</xdr:rowOff>
    </xdr:from>
    <xdr:to>
      <xdr:col>18</xdr:col>
      <xdr:colOff>201588</xdr:colOff>
      <xdr:row>57</xdr:row>
      <xdr:rowOff>78886</xdr:rowOff>
    </xdr:to>
    <xdr:graphicFrame macro="">
      <xdr:nvGraphicFramePr>
        <xdr:cNvPr id="8" name="Graphique 7">
          <a:extLst>
            <a:ext uri="{FF2B5EF4-FFF2-40B4-BE49-F238E27FC236}">
              <a16:creationId xmlns:a16="http://schemas.microsoft.com/office/drawing/2014/main" id="{2AB49560-3022-9385-0900-95153DE84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2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3C34BB7-01B6-49F7-BDDC-F90EAFF8BF15}">
  <we:reference id="wa200009404" version="1.0.0.5" store="fr-FR"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13A63-B982-4941-ABD1-47447660F8D9}">
  <dimension ref="A1:F22"/>
  <sheetViews>
    <sheetView workbookViewId="0">
      <selection activeCell="F12" sqref="F12"/>
    </sheetView>
  </sheetViews>
  <sheetFormatPr baseColWidth="10" defaultRowHeight="14.4" x14ac:dyDescent="0.3"/>
  <cols>
    <col min="3" max="6" width="55.5546875" customWidth="1"/>
  </cols>
  <sheetData>
    <row r="1" spans="1:6" x14ac:dyDescent="0.3">
      <c r="A1" s="2" t="s">
        <v>376</v>
      </c>
      <c r="B1" s="1" t="s">
        <v>0</v>
      </c>
      <c r="C1" s="1" t="s">
        <v>377</v>
      </c>
      <c r="D1" s="1" t="s">
        <v>378</v>
      </c>
      <c r="E1" s="1" t="s">
        <v>379</v>
      </c>
      <c r="F1" s="1" t="s">
        <v>380</v>
      </c>
    </row>
    <row r="2" spans="1:6" x14ac:dyDescent="0.3">
      <c r="A2" s="5">
        <v>1</v>
      </c>
      <c r="B2" s="15">
        <v>46074</v>
      </c>
      <c r="C2" s="4" t="s">
        <v>381</v>
      </c>
      <c r="D2" s="4" t="s">
        <v>382</v>
      </c>
      <c r="E2" s="4" t="s">
        <v>383</v>
      </c>
      <c r="F2" s="4" t="s">
        <v>384</v>
      </c>
    </row>
    <row r="3" spans="1:6" x14ac:dyDescent="0.3">
      <c r="A3" s="5">
        <v>2</v>
      </c>
      <c r="B3" s="15">
        <v>46074</v>
      </c>
      <c r="C3" s="4" t="s">
        <v>421</v>
      </c>
      <c r="D3" s="4" t="s">
        <v>422</v>
      </c>
      <c r="E3" s="4" t="s">
        <v>423</v>
      </c>
      <c r="F3" s="4" t="s">
        <v>424</v>
      </c>
    </row>
    <row r="4" spans="1:6" x14ac:dyDescent="0.3">
      <c r="A4" s="5">
        <v>3</v>
      </c>
      <c r="B4" s="15">
        <v>46074</v>
      </c>
      <c r="C4" s="4" t="s">
        <v>445</v>
      </c>
      <c r="D4" s="4" t="s">
        <v>446</v>
      </c>
      <c r="E4" s="4" t="s">
        <v>447</v>
      </c>
      <c r="F4" s="4" t="s">
        <v>448</v>
      </c>
    </row>
    <row r="5" spans="1:6" x14ac:dyDescent="0.3">
      <c r="A5" s="5">
        <v>4</v>
      </c>
      <c r="B5" s="15">
        <v>46074</v>
      </c>
      <c r="C5" s="4" t="s">
        <v>451</v>
      </c>
      <c r="D5" s="4" t="s">
        <v>452</v>
      </c>
      <c r="E5" s="4" t="s">
        <v>453</v>
      </c>
      <c r="F5" s="4" t="s">
        <v>454</v>
      </c>
    </row>
    <row r="6" spans="1:6" x14ac:dyDescent="0.3">
      <c r="A6" s="5">
        <v>5</v>
      </c>
      <c r="B6" s="15">
        <v>46074</v>
      </c>
      <c r="C6" s="4" t="s">
        <v>456</v>
      </c>
      <c r="D6" s="4" t="s">
        <v>457</v>
      </c>
      <c r="E6" s="4" t="s">
        <v>458</v>
      </c>
      <c r="F6" s="4" t="s">
        <v>459</v>
      </c>
    </row>
    <row r="7" spans="1:6" x14ac:dyDescent="0.3">
      <c r="A7" s="5">
        <v>6</v>
      </c>
      <c r="B7" s="15">
        <v>46074</v>
      </c>
      <c r="C7" s="4" t="s">
        <v>460</v>
      </c>
      <c r="D7" s="4" t="s">
        <v>461</v>
      </c>
      <c r="E7" s="4" t="s">
        <v>462</v>
      </c>
      <c r="F7" s="4" t="s">
        <v>463</v>
      </c>
    </row>
    <row r="11" spans="1:6" x14ac:dyDescent="0.3">
      <c r="A11" s="5">
        <v>10</v>
      </c>
      <c r="B11" s="15">
        <v>46074</v>
      </c>
      <c r="C11" s="4" t="s">
        <v>472</v>
      </c>
      <c r="D11" s="4" t="s">
        <v>473</v>
      </c>
      <c r="E11" s="4" t="s">
        <v>474</v>
      </c>
      <c r="F11" s="4" t="s">
        <v>475</v>
      </c>
    </row>
    <row r="12" spans="1:6" x14ac:dyDescent="0.3">
      <c r="A12">
        <v>11</v>
      </c>
      <c r="B12" s="14">
        <v>46074</v>
      </c>
      <c r="C12" t="s">
        <v>476</v>
      </c>
      <c r="D12" t="s">
        <v>477</v>
      </c>
      <c r="E12" t="s">
        <v>478</v>
      </c>
      <c r="F12" t="s">
        <v>479</v>
      </c>
    </row>
    <row r="13" spans="1:6" x14ac:dyDescent="0.3">
      <c r="A13">
        <v>12</v>
      </c>
      <c r="B13" s="14">
        <v>46074</v>
      </c>
      <c r="C13" t="s">
        <v>480</v>
      </c>
      <c r="D13" t="s">
        <v>481</v>
      </c>
      <c r="E13" t="s">
        <v>482</v>
      </c>
      <c r="F13" t="s">
        <v>483</v>
      </c>
    </row>
    <row r="14" spans="1:6" x14ac:dyDescent="0.3">
      <c r="A14">
        <v>13</v>
      </c>
      <c r="B14" s="14">
        <v>46074</v>
      </c>
      <c r="C14" t="s">
        <v>515</v>
      </c>
      <c r="D14" t="s">
        <v>516</v>
      </c>
      <c r="E14" t="s">
        <v>517</v>
      </c>
      <c r="F14" t="s">
        <v>518</v>
      </c>
    </row>
    <row r="15" spans="1:6" x14ac:dyDescent="0.3">
      <c r="A15">
        <v>14</v>
      </c>
      <c r="B15" s="14">
        <v>46074</v>
      </c>
      <c r="C15" t="s">
        <v>530</v>
      </c>
      <c r="D15" t="s">
        <v>531</v>
      </c>
      <c r="E15" t="s">
        <v>532</v>
      </c>
      <c r="F15" t="s">
        <v>533</v>
      </c>
    </row>
    <row r="16" spans="1:6" x14ac:dyDescent="0.3">
      <c r="A16">
        <v>15</v>
      </c>
      <c r="B16" s="14">
        <v>46074</v>
      </c>
      <c r="C16" t="s">
        <v>534</v>
      </c>
      <c r="D16" t="s">
        <v>535</v>
      </c>
      <c r="E16" t="s">
        <v>536</v>
      </c>
      <c r="F16" t="s">
        <v>537</v>
      </c>
    </row>
    <row r="17" spans="1:6" x14ac:dyDescent="0.3">
      <c r="A17">
        <v>16</v>
      </c>
      <c r="B17" s="14">
        <v>46074</v>
      </c>
      <c r="C17" t="s">
        <v>538</v>
      </c>
      <c r="D17" t="s">
        <v>539</v>
      </c>
      <c r="E17" t="s">
        <v>540</v>
      </c>
      <c r="F17" t="s">
        <v>541</v>
      </c>
    </row>
    <row r="18" spans="1:6" x14ac:dyDescent="0.3">
      <c r="A18">
        <v>17</v>
      </c>
      <c r="B18" s="14">
        <v>46074</v>
      </c>
      <c r="C18" t="s">
        <v>542</v>
      </c>
      <c r="D18" t="s">
        <v>543</v>
      </c>
      <c r="E18" t="s">
        <v>544</v>
      </c>
      <c r="F18" t="s">
        <v>545</v>
      </c>
    </row>
    <row r="19" spans="1:6" x14ac:dyDescent="0.3">
      <c r="A19">
        <v>18</v>
      </c>
      <c r="B19" s="14">
        <v>46074</v>
      </c>
      <c r="C19" t="s">
        <v>639</v>
      </c>
      <c r="D19" t="s">
        <v>640</v>
      </c>
      <c r="E19" t="s">
        <v>641</v>
      </c>
      <c r="F19" t="s">
        <v>642</v>
      </c>
    </row>
    <row r="20" spans="1:6" x14ac:dyDescent="0.3">
      <c r="A20">
        <v>19</v>
      </c>
      <c r="B20" s="14">
        <v>46074</v>
      </c>
      <c r="C20" t="s">
        <v>662</v>
      </c>
      <c r="D20" t="s">
        <v>663</v>
      </c>
      <c r="E20" t="s">
        <v>664</v>
      </c>
      <c r="F20" t="s">
        <v>665</v>
      </c>
    </row>
    <row r="21" spans="1:6" x14ac:dyDescent="0.3">
      <c r="A21">
        <v>20</v>
      </c>
      <c r="B21" s="14">
        <v>46074</v>
      </c>
      <c r="C21" t="s">
        <v>689</v>
      </c>
      <c r="D21" t="s">
        <v>690</v>
      </c>
      <c r="E21" t="s">
        <v>691</v>
      </c>
      <c r="F21" t="s">
        <v>692</v>
      </c>
    </row>
    <row r="22" spans="1:6" x14ac:dyDescent="0.3">
      <c r="A22">
        <v>22</v>
      </c>
      <c r="B22" s="14">
        <v>46074</v>
      </c>
      <c r="C22" t="s">
        <v>855</v>
      </c>
      <c r="D22" t="s">
        <v>856</v>
      </c>
      <c r="E22" t="s">
        <v>857</v>
      </c>
      <c r="F22" t="s">
        <v>858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00AD4-4B5B-4E15-9A0C-C5B8E15FE861}">
  <dimension ref="A1:S50"/>
  <sheetViews>
    <sheetView tabSelected="1" workbookViewId="0">
      <pane ySplit="1" topLeftCell="A2" activePane="bottomLeft" state="frozen"/>
      <selection pane="bottomLeft"/>
    </sheetView>
  </sheetViews>
  <sheetFormatPr baseColWidth="10" defaultRowHeight="14.4" x14ac:dyDescent="0.3"/>
  <cols>
    <col min="1" max="1" width="7.44140625" customWidth="1"/>
    <col min="2" max="3" width="37" customWidth="1"/>
    <col min="4" max="4" width="18.5546875" customWidth="1"/>
    <col min="5" max="5" width="14.77734375" customWidth="1"/>
    <col min="6" max="6" width="18.5546875" customWidth="1"/>
    <col min="7" max="7" width="14.77734375" customWidth="1"/>
  </cols>
  <sheetData>
    <row r="1" spans="1:19" ht="18" x14ac:dyDescent="0.35">
      <c r="A1" s="23" t="s">
        <v>546</v>
      </c>
    </row>
    <row r="3" spans="1:19" ht="15.6" x14ac:dyDescent="0.3">
      <c r="A3" s="111" t="s">
        <v>309</v>
      </c>
    </row>
    <row r="4" spans="1:19" x14ac:dyDescent="0.3">
      <c r="A4" s="112" t="s">
        <v>547</v>
      </c>
      <c r="B4" s="112" t="s">
        <v>6</v>
      </c>
      <c r="C4" s="112" t="s">
        <v>7</v>
      </c>
      <c r="D4" s="112" t="s">
        <v>8</v>
      </c>
      <c r="E4" s="112" t="s">
        <v>9</v>
      </c>
      <c r="F4" s="112" t="s">
        <v>10</v>
      </c>
      <c r="G4" s="112" t="s">
        <v>11</v>
      </c>
      <c r="H4" s="112" t="s">
        <v>12</v>
      </c>
      <c r="I4" s="112" t="s">
        <v>13</v>
      </c>
      <c r="J4" s="112" t="s">
        <v>14</v>
      </c>
      <c r="K4" s="112" t="s">
        <v>15</v>
      </c>
      <c r="L4" s="112" t="s">
        <v>16</v>
      </c>
      <c r="M4" s="112" t="s">
        <v>17</v>
      </c>
      <c r="N4" s="112" t="s">
        <v>18</v>
      </c>
      <c r="O4" s="112" t="s">
        <v>64</v>
      </c>
      <c r="P4" s="112" t="s">
        <v>65</v>
      </c>
      <c r="Q4" s="112" t="s">
        <v>21</v>
      </c>
      <c r="R4" s="112" t="s">
        <v>548</v>
      </c>
      <c r="S4" s="112" t="s">
        <v>215</v>
      </c>
    </row>
    <row r="5" spans="1:19" x14ac:dyDescent="0.3">
      <c r="A5" s="37" t="s">
        <v>549</v>
      </c>
      <c r="B5" t="s">
        <v>2</v>
      </c>
      <c r="C5" t="s">
        <v>22</v>
      </c>
      <c r="D5" s="14">
        <f>DATE(2026,4,27)</f>
        <v>46139</v>
      </c>
      <c r="E5" s="6">
        <f>TIME(20,5,0)</f>
        <v>0.83680555555555558</v>
      </c>
      <c r="F5" s="14">
        <f>DATE(2026,4,28)</f>
        <v>46140</v>
      </c>
      <c r="G5" s="6">
        <f>TIME(5,25,0)</f>
        <v>0.22569444444444445</v>
      </c>
      <c r="H5" t="s">
        <v>25</v>
      </c>
      <c r="I5" t="s">
        <v>26</v>
      </c>
      <c r="J5" t="s">
        <v>27</v>
      </c>
      <c r="K5" t="s">
        <v>28</v>
      </c>
      <c r="L5" t="s">
        <v>29</v>
      </c>
      <c r="M5" t="s">
        <v>550</v>
      </c>
      <c r="N5" t="s">
        <v>30</v>
      </c>
      <c r="O5">
        <v>290.14999999999998</v>
      </c>
      <c r="Q5" t="s">
        <v>31</v>
      </c>
      <c r="R5">
        <v>1</v>
      </c>
      <c r="S5" t="s">
        <v>551</v>
      </c>
    </row>
    <row r="6" spans="1:19" x14ac:dyDescent="0.3">
      <c r="A6" s="37" t="s">
        <v>552</v>
      </c>
      <c r="B6" t="s">
        <v>2</v>
      </c>
      <c r="C6" t="s">
        <v>389</v>
      </c>
      <c r="D6" s="14">
        <f>DATE(2026,5,7)</f>
        <v>46149</v>
      </c>
      <c r="E6" s="6">
        <f>TIME(21,45,0)</f>
        <v>0.90625</v>
      </c>
      <c r="F6" s="14">
        <f>DATE(2026,5,8)</f>
        <v>46150</v>
      </c>
      <c r="G6" s="6">
        <f>TIME(9,45,0)</f>
        <v>0.40625</v>
      </c>
      <c r="H6" t="s">
        <v>390</v>
      </c>
      <c r="I6" t="s">
        <v>391</v>
      </c>
      <c r="J6" t="s">
        <v>392</v>
      </c>
      <c r="K6" t="s">
        <v>393</v>
      </c>
      <c r="L6" t="s">
        <v>553</v>
      </c>
      <c r="M6" t="s">
        <v>44</v>
      </c>
      <c r="N6" t="s">
        <v>30</v>
      </c>
      <c r="O6">
        <v>311.8</v>
      </c>
      <c r="Q6" t="s">
        <v>394</v>
      </c>
      <c r="R6">
        <v>1</v>
      </c>
      <c r="S6" t="s">
        <v>554</v>
      </c>
    </row>
    <row r="7" spans="1:19" x14ac:dyDescent="0.3">
      <c r="A7" s="37" t="s">
        <v>555</v>
      </c>
      <c r="B7" t="s">
        <v>1</v>
      </c>
      <c r="C7" t="s">
        <v>32</v>
      </c>
      <c r="D7" s="14">
        <f>DATE(2026,5,23)</f>
        <v>46165</v>
      </c>
      <c r="E7" s="6">
        <f>TIME(13,0,0)</f>
        <v>0.54166666666666663</v>
      </c>
      <c r="F7" s="14">
        <f>DATE(2026,5,23)</f>
        <v>46165</v>
      </c>
      <c r="G7" s="6">
        <f>TIME(21,20,0)</f>
        <v>0.88888888888888884</v>
      </c>
      <c r="H7" t="s">
        <v>34</v>
      </c>
      <c r="I7" t="s">
        <v>35</v>
      </c>
      <c r="J7" t="s">
        <v>36</v>
      </c>
      <c r="K7" t="s">
        <v>37</v>
      </c>
      <c r="L7" t="s">
        <v>38</v>
      </c>
      <c r="M7" t="s">
        <v>550</v>
      </c>
      <c r="N7" t="s">
        <v>30</v>
      </c>
      <c r="O7">
        <v>845.81</v>
      </c>
      <c r="Q7" t="s">
        <v>39</v>
      </c>
      <c r="R7">
        <v>1</v>
      </c>
      <c r="S7" t="s">
        <v>556</v>
      </c>
    </row>
    <row r="8" spans="1:19" x14ac:dyDescent="0.3">
      <c r="A8" s="37" t="s">
        <v>557</v>
      </c>
      <c r="B8" t="s">
        <v>1</v>
      </c>
      <c r="C8" t="s">
        <v>40</v>
      </c>
      <c r="D8" s="14">
        <f>DATE(2026,6,5)</f>
        <v>46178</v>
      </c>
      <c r="E8" s="6">
        <f>TIME(22,50,0)</f>
        <v>0.95138888888888884</v>
      </c>
      <c r="F8" s="14">
        <f>DATE(2026,6,6)</f>
        <v>46179</v>
      </c>
      <c r="G8" s="6">
        <f>TIME(17,30,0)</f>
        <v>0.72916666666666663</v>
      </c>
      <c r="H8" t="s">
        <v>34</v>
      </c>
      <c r="I8" t="s">
        <v>41</v>
      </c>
      <c r="J8" t="s">
        <v>36</v>
      </c>
      <c r="K8" t="s">
        <v>37</v>
      </c>
      <c r="L8" t="s">
        <v>38</v>
      </c>
      <c r="M8" t="s">
        <v>550</v>
      </c>
      <c r="N8" t="s">
        <v>42</v>
      </c>
      <c r="O8">
        <v>0</v>
      </c>
      <c r="Q8" t="s">
        <v>558</v>
      </c>
      <c r="R8">
        <v>1</v>
      </c>
      <c r="S8" t="s">
        <v>559</v>
      </c>
    </row>
    <row r="9" spans="1:19" x14ac:dyDescent="0.3">
      <c r="A9" s="37" t="s">
        <v>560</v>
      </c>
      <c r="B9" t="s">
        <v>2</v>
      </c>
      <c r="C9" t="s">
        <v>40</v>
      </c>
      <c r="D9" s="14">
        <f>DATE(2026,6,5)</f>
        <v>46178</v>
      </c>
      <c r="E9" s="6">
        <f>TIME(22,50,0)</f>
        <v>0.95138888888888884</v>
      </c>
      <c r="F9" s="14">
        <f>DATE(2026,6,6)</f>
        <v>46179</v>
      </c>
      <c r="G9" s="6">
        <f>TIME(17,30,0)</f>
        <v>0.72916666666666663</v>
      </c>
      <c r="H9" t="s">
        <v>34</v>
      </c>
      <c r="I9" t="s">
        <v>41</v>
      </c>
      <c r="J9" t="s">
        <v>36</v>
      </c>
      <c r="K9" t="s">
        <v>43</v>
      </c>
      <c r="L9" t="s">
        <v>38</v>
      </c>
      <c r="M9" t="s">
        <v>44</v>
      </c>
      <c r="N9" t="s">
        <v>45</v>
      </c>
      <c r="O9">
        <v>552.15</v>
      </c>
      <c r="Q9" t="s">
        <v>46</v>
      </c>
      <c r="R9">
        <v>1</v>
      </c>
    </row>
    <row r="10" spans="1:19" x14ac:dyDescent="0.3">
      <c r="A10" s="37" t="s">
        <v>561</v>
      </c>
      <c r="B10" t="s">
        <v>47</v>
      </c>
      <c r="C10" t="s">
        <v>48</v>
      </c>
      <c r="D10" s="14">
        <f>DATE(2026,5,25)</f>
        <v>46167</v>
      </c>
      <c r="E10" s="6">
        <f>TIME(14,50,0)</f>
        <v>0.61805555555555558</v>
      </c>
      <c r="F10" s="14">
        <f>DATE(2026,5,25)</f>
        <v>46167</v>
      </c>
      <c r="G10" s="6">
        <f>TIME(15,55,0)</f>
        <v>0.66319444444444442</v>
      </c>
      <c r="H10" t="s">
        <v>50</v>
      </c>
      <c r="I10" t="s">
        <v>51</v>
      </c>
      <c r="J10" t="s">
        <v>154</v>
      </c>
      <c r="K10" t="s">
        <v>395</v>
      </c>
      <c r="L10" t="s">
        <v>396</v>
      </c>
      <c r="M10" t="s">
        <v>396</v>
      </c>
      <c r="N10" t="s">
        <v>397</v>
      </c>
      <c r="P10">
        <v>1300.17</v>
      </c>
      <c r="Q10" t="s">
        <v>53</v>
      </c>
      <c r="R10">
        <v>3</v>
      </c>
      <c r="S10" t="s">
        <v>562</v>
      </c>
    </row>
    <row r="11" spans="1:19" x14ac:dyDescent="0.3">
      <c r="A11" s="37" t="s">
        <v>563</v>
      </c>
      <c r="B11" t="s">
        <v>47</v>
      </c>
      <c r="C11" t="s">
        <v>54</v>
      </c>
      <c r="D11" s="14">
        <f>DATE(2026,5,25)</f>
        <v>46167</v>
      </c>
      <c r="E11" s="6">
        <f>TIME(18,0,0)</f>
        <v>0.75</v>
      </c>
      <c r="F11" s="14">
        <f>DATE(2026,5,25)</f>
        <v>46167</v>
      </c>
      <c r="G11" s="6">
        <f>TIME(19,55,0)</f>
        <v>0.82986111111111116</v>
      </c>
      <c r="H11" t="s">
        <v>50</v>
      </c>
      <c r="I11" t="s">
        <v>55</v>
      </c>
      <c r="J11" t="s">
        <v>154</v>
      </c>
      <c r="K11" t="s">
        <v>398</v>
      </c>
      <c r="L11" t="s">
        <v>396</v>
      </c>
      <c r="M11" t="s">
        <v>396</v>
      </c>
      <c r="N11" t="s">
        <v>399</v>
      </c>
      <c r="P11">
        <v>799.14</v>
      </c>
      <c r="Q11" t="s">
        <v>53</v>
      </c>
      <c r="R11">
        <v>3</v>
      </c>
      <c r="S11" t="s">
        <v>564</v>
      </c>
    </row>
    <row r="13" spans="1:19" ht="15.6" x14ac:dyDescent="0.3">
      <c r="A13" s="111" t="s">
        <v>256</v>
      </c>
    </row>
    <row r="14" spans="1:19" x14ac:dyDescent="0.3">
      <c r="A14" s="112" t="s">
        <v>547</v>
      </c>
      <c r="B14" s="112" t="s">
        <v>61</v>
      </c>
      <c r="C14" s="112" t="s">
        <v>56</v>
      </c>
      <c r="D14" s="112" t="s">
        <v>57</v>
      </c>
      <c r="E14" s="112" t="s">
        <v>565</v>
      </c>
      <c r="F14" s="112" t="s">
        <v>566</v>
      </c>
      <c r="G14" s="112" t="s">
        <v>567</v>
      </c>
      <c r="H14" s="112" t="s">
        <v>568</v>
      </c>
      <c r="I14" s="112" t="s">
        <v>60</v>
      </c>
      <c r="J14" s="112" t="s">
        <v>62</v>
      </c>
      <c r="K14" s="112" t="s">
        <v>63</v>
      </c>
      <c r="L14" s="112" t="s">
        <v>64</v>
      </c>
      <c r="M14" s="112" t="s">
        <v>65</v>
      </c>
      <c r="N14" s="112" t="s">
        <v>66</v>
      </c>
      <c r="O14" s="112" t="s">
        <v>501</v>
      </c>
      <c r="P14" s="112" t="s">
        <v>68</v>
      </c>
      <c r="Q14" s="112" t="s">
        <v>69</v>
      </c>
      <c r="R14" s="112" t="s">
        <v>70</v>
      </c>
      <c r="S14" s="112" t="s">
        <v>569</v>
      </c>
    </row>
    <row r="15" spans="1:19" x14ac:dyDescent="0.3">
      <c r="A15" s="37" t="s">
        <v>570</v>
      </c>
      <c r="B15" t="s">
        <v>73</v>
      </c>
      <c r="C15" t="s">
        <v>4</v>
      </c>
      <c r="D15" t="s">
        <v>3</v>
      </c>
      <c r="E15" s="14">
        <f>DATE(2026,4,27)</f>
        <v>46139</v>
      </c>
      <c r="F15" s="6">
        <f>TIME(13,0,0)</f>
        <v>0.54166666666666663</v>
      </c>
      <c r="G15" s="14">
        <f>DATE(2026,4,30)</f>
        <v>46142</v>
      </c>
      <c r="H15" s="6">
        <f>TIME(12,0,0)</f>
        <v>0.5</v>
      </c>
      <c r="I15">
        <v>3</v>
      </c>
      <c r="J15" t="s">
        <v>74</v>
      </c>
      <c r="K15" t="s">
        <v>75</v>
      </c>
      <c r="L15">
        <v>103</v>
      </c>
      <c r="M15">
        <v>691.65</v>
      </c>
      <c r="N15" t="s">
        <v>76</v>
      </c>
      <c r="O15" t="s">
        <v>77</v>
      </c>
      <c r="P15">
        <v>5474140188</v>
      </c>
      <c r="Q15" t="s">
        <v>78</v>
      </c>
      <c r="R15" t="s">
        <v>79</v>
      </c>
      <c r="S15" t="s">
        <v>571</v>
      </c>
    </row>
    <row r="16" spans="1:19" x14ac:dyDescent="0.3">
      <c r="A16" s="37" t="s">
        <v>572</v>
      </c>
      <c r="B16" t="s">
        <v>84</v>
      </c>
      <c r="C16" t="s">
        <v>80</v>
      </c>
      <c r="D16" t="s">
        <v>81</v>
      </c>
      <c r="E16" s="14">
        <f>DATE(2026,5,23)</f>
        <v>46165</v>
      </c>
      <c r="F16" s="6">
        <f>TIME(14,0,0)</f>
        <v>0.58333333333333337</v>
      </c>
      <c r="G16" s="14">
        <f>DATE(2026,5,25)</f>
        <v>46167</v>
      </c>
      <c r="H16" s="6">
        <f>TIME(12,0,0)</f>
        <v>0.5</v>
      </c>
      <c r="I16">
        <v>2</v>
      </c>
      <c r="J16" t="s">
        <v>85</v>
      </c>
      <c r="K16" t="s">
        <v>75</v>
      </c>
      <c r="L16">
        <v>116</v>
      </c>
      <c r="M16">
        <v>779.62</v>
      </c>
      <c r="N16" t="s">
        <v>86</v>
      </c>
      <c r="O16" t="s">
        <v>87</v>
      </c>
      <c r="P16">
        <v>5987193612</v>
      </c>
      <c r="Q16" t="s">
        <v>88</v>
      </c>
      <c r="R16" t="s">
        <v>79</v>
      </c>
      <c r="S16" t="s">
        <v>573</v>
      </c>
    </row>
    <row r="17" spans="1:19" x14ac:dyDescent="0.3">
      <c r="A17" s="37" t="s">
        <v>574</v>
      </c>
      <c r="B17" t="s">
        <v>93</v>
      </c>
      <c r="C17" t="s">
        <v>89</v>
      </c>
      <c r="D17" t="s">
        <v>90</v>
      </c>
      <c r="E17" s="14">
        <f>DATE(2026,5,25)</f>
        <v>46167</v>
      </c>
      <c r="F17" s="6">
        <f>TIME(13,30,0)</f>
        <v>0.5625</v>
      </c>
      <c r="G17" s="14">
        <f>DATE(2026,5,27)</f>
        <v>46169</v>
      </c>
      <c r="H17" s="6">
        <f>TIME(12,0,0)</f>
        <v>0.5</v>
      </c>
      <c r="I17">
        <v>2</v>
      </c>
      <c r="J17" t="s">
        <v>94</v>
      </c>
      <c r="K17" t="s">
        <v>75</v>
      </c>
      <c r="L17">
        <v>125</v>
      </c>
      <c r="M17">
        <v>840</v>
      </c>
      <c r="N17" t="s">
        <v>666</v>
      </c>
      <c r="O17" t="s">
        <v>77</v>
      </c>
      <c r="P17">
        <v>5331265550</v>
      </c>
      <c r="Q17" t="s">
        <v>88</v>
      </c>
      <c r="R17" t="s">
        <v>79</v>
      </c>
      <c r="S17" t="s">
        <v>575</v>
      </c>
    </row>
    <row r="18" spans="1:19" x14ac:dyDescent="0.3">
      <c r="A18" s="37" t="s">
        <v>576</v>
      </c>
      <c r="B18" t="s">
        <v>93</v>
      </c>
      <c r="C18" t="s">
        <v>95</v>
      </c>
      <c r="D18" t="s">
        <v>96</v>
      </c>
      <c r="E18" s="14">
        <f>DATE(2026,5,27)</f>
        <v>46169</v>
      </c>
      <c r="F18" s="6">
        <f>TIME(14,0,0)</f>
        <v>0.58333333333333337</v>
      </c>
      <c r="G18" s="14">
        <f>DATE(2026,5,30)</f>
        <v>46172</v>
      </c>
      <c r="H18" s="6">
        <f>TIME(12,0,0)</f>
        <v>0.5</v>
      </c>
      <c r="I18">
        <v>3</v>
      </c>
      <c r="J18" t="s">
        <v>99</v>
      </c>
      <c r="K18" t="s">
        <v>100</v>
      </c>
      <c r="L18">
        <v>294</v>
      </c>
      <c r="M18">
        <v>1968</v>
      </c>
      <c r="N18" t="s">
        <v>667</v>
      </c>
      <c r="O18" t="s">
        <v>101</v>
      </c>
      <c r="P18">
        <v>6862089551</v>
      </c>
      <c r="Q18" t="s">
        <v>102</v>
      </c>
      <c r="R18" t="s">
        <v>79</v>
      </c>
      <c r="S18" t="s">
        <v>577</v>
      </c>
    </row>
    <row r="19" spans="1:19" x14ac:dyDescent="0.3">
      <c r="A19" s="37" t="s">
        <v>643</v>
      </c>
      <c r="B19" t="s">
        <v>93</v>
      </c>
      <c r="C19" t="s">
        <v>644</v>
      </c>
      <c r="D19" t="s">
        <v>645</v>
      </c>
      <c r="E19" s="14">
        <f>DATE(2026,6,1)</f>
        <v>46174</v>
      </c>
      <c r="F19" s="6">
        <f>TIME(12,0,0)</f>
        <v>0.5</v>
      </c>
      <c r="G19" s="14">
        <f>DATE(2026,6,3)</f>
        <v>46176</v>
      </c>
      <c r="H19" s="6">
        <f>TIME(12,0,0)</f>
        <v>0.5</v>
      </c>
      <c r="I19">
        <v>2</v>
      </c>
      <c r="J19" t="s">
        <v>646</v>
      </c>
      <c r="K19" t="s">
        <v>75</v>
      </c>
      <c r="L19">
        <v>129</v>
      </c>
      <c r="M19">
        <v>861.12</v>
      </c>
      <c r="N19" t="s">
        <v>668</v>
      </c>
      <c r="O19" t="s">
        <v>647</v>
      </c>
      <c r="P19" t="s">
        <v>648</v>
      </c>
      <c r="Q19" t="s">
        <v>649</v>
      </c>
      <c r="R19" t="s">
        <v>79</v>
      </c>
      <c r="S19" t="s">
        <v>650</v>
      </c>
    </row>
    <row r="21" spans="1:19" ht="15.6" x14ac:dyDescent="0.3">
      <c r="A21" s="111" t="s">
        <v>324</v>
      </c>
    </row>
    <row r="22" spans="1:19" x14ac:dyDescent="0.3">
      <c r="A22" s="112" t="s">
        <v>547</v>
      </c>
      <c r="B22" s="112" t="s">
        <v>578</v>
      </c>
      <c r="C22" s="112" t="s">
        <v>106</v>
      </c>
      <c r="D22" s="112" t="s">
        <v>114</v>
      </c>
      <c r="E22" s="112" t="s">
        <v>579</v>
      </c>
      <c r="F22" s="112" t="s">
        <v>580</v>
      </c>
      <c r="G22" s="112" t="s">
        <v>581</v>
      </c>
      <c r="H22" s="112" t="s">
        <v>582</v>
      </c>
      <c r="I22" s="112" t="s">
        <v>385</v>
      </c>
      <c r="J22" s="112" t="s">
        <v>65</v>
      </c>
      <c r="K22" s="112" t="s">
        <v>583</v>
      </c>
      <c r="L22" s="112" t="s">
        <v>21</v>
      </c>
      <c r="M22" s="112" t="s">
        <v>584</v>
      </c>
      <c r="N22" s="112" t="s">
        <v>585</v>
      </c>
      <c r="O22" s="112" t="s">
        <v>215</v>
      </c>
    </row>
    <row r="23" spans="1:19" x14ac:dyDescent="0.3">
      <c r="A23" s="37" t="s">
        <v>586</v>
      </c>
      <c r="B23" t="s">
        <v>587</v>
      </c>
      <c r="C23" t="s">
        <v>107</v>
      </c>
      <c r="D23" t="s">
        <v>588</v>
      </c>
      <c r="E23" s="14">
        <f>DATE(2026,5,23)</f>
        <v>46165</v>
      </c>
      <c r="F23" s="6">
        <f>TIME(22,0,0)</f>
        <v>0.91666666666666663</v>
      </c>
      <c r="G23" s="14">
        <f>DATE(2026,6,5)</f>
        <v>46178</v>
      </c>
      <c r="H23" s="6">
        <f>TIME(18,0,0)</f>
        <v>0.75</v>
      </c>
      <c r="I23">
        <v>13</v>
      </c>
      <c r="J23">
        <v>3132.3</v>
      </c>
      <c r="K23">
        <v>2500</v>
      </c>
      <c r="L23" t="s">
        <v>589</v>
      </c>
      <c r="M23" t="s">
        <v>105</v>
      </c>
      <c r="N23" t="s">
        <v>117</v>
      </c>
      <c r="O23" t="s">
        <v>590</v>
      </c>
    </row>
    <row r="25" spans="1:19" ht="15.6" x14ac:dyDescent="0.3">
      <c r="A25" s="111" t="s">
        <v>591</v>
      </c>
    </row>
    <row r="26" spans="1:19" x14ac:dyDescent="0.3">
      <c r="A26" s="112" t="s">
        <v>547</v>
      </c>
      <c r="B26" s="112" t="s">
        <v>592</v>
      </c>
      <c r="C26" s="112" t="s">
        <v>333</v>
      </c>
      <c r="D26" s="112" t="s">
        <v>513</v>
      </c>
      <c r="E26" s="112" t="s">
        <v>215</v>
      </c>
    </row>
    <row r="27" spans="1:19" x14ac:dyDescent="0.3">
      <c r="A27" s="37" t="s">
        <v>593</v>
      </c>
      <c r="B27" t="s">
        <v>335</v>
      </c>
      <c r="C27" t="s">
        <v>336</v>
      </c>
      <c r="D27" t="s">
        <v>337</v>
      </c>
      <c r="E27" t="s">
        <v>594</v>
      </c>
    </row>
    <row r="28" spans="1:19" x14ac:dyDescent="0.3">
      <c r="A28" s="37" t="s">
        <v>595</v>
      </c>
      <c r="B28" t="s">
        <v>34</v>
      </c>
      <c r="C28" t="s">
        <v>154</v>
      </c>
      <c r="D28" t="s">
        <v>339</v>
      </c>
      <c r="E28" t="s">
        <v>596</v>
      </c>
    </row>
    <row r="29" spans="1:19" x14ac:dyDescent="0.3">
      <c r="A29" s="37" t="s">
        <v>597</v>
      </c>
      <c r="B29" t="s">
        <v>341</v>
      </c>
      <c r="C29" t="s">
        <v>598</v>
      </c>
      <c r="D29" t="s">
        <v>343</v>
      </c>
      <c r="E29" t="s">
        <v>599</v>
      </c>
    </row>
    <row r="30" spans="1:19" x14ac:dyDescent="0.3">
      <c r="A30" s="37" t="s">
        <v>600</v>
      </c>
      <c r="B30" t="s">
        <v>601</v>
      </c>
      <c r="C30" t="s">
        <v>345</v>
      </c>
      <c r="D30" t="s">
        <v>346</v>
      </c>
      <c r="E30" t="s">
        <v>602</v>
      </c>
    </row>
    <row r="31" spans="1:19" x14ac:dyDescent="0.3">
      <c r="A31" s="37" t="s">
        <v>603</v>
      </c>
      <c r="B31" t="s">
        <v>4</v>
      </c>
      <c r="C31" t="s">
        <v>350</v>
      </c>
      <c r="D31" t="s">
        <v>604</v>
      </c>
      <c r="E31" t="s">
        <v>605</v>
      </c>
    </row>
    <row r="32" spans="1:19" x14ac:dyDescent="0.3">
      <c r="A32" s="37" t="s">
        <v>606</v>
      </c>
      <c r="B32" t="s">
        <v>80</v>
      </c>
      <c r="C32" t="s">
        <v>354</v>
      </c>
      <c r="D32" t="s">
        <v>607</v>
      </c>
      <c r="E32" t="s">
        <v>608</v>
      </c>
    </row>
    <row r="33" spans="1:6" x14ac:dyDescent="0.3">
      <c r="A33" s="37" t="s">
        <v>609</v>
      </c>
      <c r="B33" t="s">
        <v>89</v>
      </c>
      <c r="C33" t="s">
        <v>358</v>
      </c>
      <c r="D33" t="s">
        <v>610</v>
      </c>
      <c r="E33" t="s">
        <v>611</v>
      </c>
    </row>
    <row r="34" spans="1:6" x14ac:dyDescent="0.3">
      <c r="A34" s="37" t="s">
        <v>612</v>
      </c>
      <c r="B34" t="s">
        <v>613</v>
      </c>
      <c r="C34" t="s">
        <v>362</v>
      </c>
      <c r="D34" t="s">
        <v>614</v>
      </c>
      <c r="E34" t="s">
        <v>615</v>
      </c>
    </row>
    <row r="35" spans="1:6" x14ac:dyDescent="0.3">
      <c r="A35" s="37" t="s">
        <v>616</v>
      </c>
      <c r="B35" t="s">
        <v>365</v>
      </c>
      <c r="C35" t="s">
        <v>366</v>
      </c>
      <c r="D35" t="s">
        <v>617</v>
      </c>
      <c r="E35" t="s">
        <v>618</v>
      </c>
    </row>
    <row r="36" spans="1:6" x14ac:dyDescent="0.3">
      <c r="A36" s="37" t="s">
        <v>619</v>
      </c>
      <c r="B36" t="s">
        <v>369</v>
      </c>
      <c r="C36">
        <v>190</v>
      </c>
    </row>
    <row r="37" spans="1:6" x14ac:dyDescent="0.3">
      <c r="A37" s="37" t="s">
        <v>528</v>
      </c>
      <c r="B37" t="s">
        <v>370</v>
      </c>
      <c r="C37">
        <v>192</v>
      </c>
    </row>
    <row r="38" spans="1:6" x14ac:dyDescent="0.3">
      <c r="A38" s="37" t="s">
        <v>620</v>
      </c>
      <c r="B38" t="s">
        <v>371</v>
      </c>
      <c r="C38">
        <v>193</v>
      </c>
    </row>
    <row r="39" spans="1:6" x14ac:dyDescent="0.3">
      <c r="A39" s="37" t="s">
        <v>621</v>
      </c>
      <c r="B39" t="s">
        <v>622</v>
      </c>
      <c r="C39" t="s">
        <v>373</v>
      </c>
      <c r="D39" t="s">
        <v>374</v>
      </c>
    </row>
    <row r="40" spans="1:6" x14ac:dyDescent="0.3">
      <c r="A40" s="37" t="s">
        <v>623</v>
      </c>
      <c r="B40" t="s">
        <v>514</v>
      </c>
      <c r="C40">
        <v>41762470577</v>
      </c>
    </row>
    <row r="41" spans="1:6" x14ac:dyDescent="0.3">
      <c r="A41" s="37" t="s">
        <v>656</v>
      </c>
      <c r="B41" t="s">
        <v>657</v>
      </c>
      <c r="C41" t="s">
        <v>658</v>
      </c>
      <c r="D41" t="s">
        <v>659</v>
      </c>
      <c r="E41" t="s">
        <v>660</v>
      </c>
    </row>
    <row r="42" spans="1:6" ht="15.6" x14ac:dyDescent="0.3">
      <c r="A42" s="111" t="s">
        <v>624</v>
      </c>
    </row>
    <row r="43" spans="1:6" x14ac:dyDescent="0.3">
      <c r="A43" s="112" t="s">
        <v>547</v>
      </c>
      <c r="B43" s="112" t="s">
        <v>484</v>
      </c>
      <c r="C43" s="112" t="s">
        <v>485</v>
      </c>
      <c r="D43" s="112" t="s">
        <v>625</v>
      </c>
      <c r="E43" s="112" t="s">
        <v>626</v>
      </c>
      <c r="F43" s="112" t="s">
        <v>627</v>
      </c>
    </row>
    <row r="44" spans="1:6" x14ac:dyDescent="0.3">
      <c r="A44" s="37" t="s">
        <v>628</v>
      </c>
      <c r="B44" t="s">
        <v>2</v>
      </c>
      <c r="C44" t="s">
        <v>629</v>
      </c>
      <c r="D44" s="14">
        <f>DATE(2026,4,27)</f>
        <v>46139</v>
      </c>
      <c r="E44" s="14">
        <f>DATE(2026,6,6)</f>
        <v>46179</v>
      </c>
      <c r="F44" t="s">
        <v>630</v>
      </c>
    </row>
    <row r="45" spans="1:6" x14ac:dyDescent="0.3">
      <c r="A45" s="37" t="s">
        <v>631</v>
      </c>
      <c r="B45" t="s">
        <v>1</v>
      </c>
      <c r="C45" t="s">
        <v>632</v>
      </c>
      <c r="D45" s="14">
        <f>DATE(2026,5,23)</f>
        <v>46165</v>
      </c>
      <c r="E45" s="14">
        <f>DATE(2026,6,6)</f>
        <v>46179</v>
      </c>
      <c r="F45" t="s">
        <v>630</v>
      </c>
    </row>
    <row r="46" spans="1:6" x14ac:dyDescent="0.3">
      <c r="A46" s="37" t="s">
        <v>633</v>
      </c>
      <c r="B46" t="s">
        <v>488</v>
      </c>
      <c r="C46" t="s">
        <v>489</v>
      </c>
      <c r="D46" s="14">
        <f>DATE(2026,5,25)</f>
        <v>46167</v>
      </c>
      <c r="E46" t="s">
        <v>634</v>
      </c>
      <c r="F46" t="s">
        <v>635</v>
      </c>
    </row>
    <row r="47" spans="1:6" x14ac:dyDescent="0.3">
      <c r="A47" s="37" t="s">
        <v>636</v>
      </c>
      <c r="B47" t="s">
        <v>490</v>
      </c>
      <c r="C47" t="s">
        <v>491</v>
      </c>
      <c r="D47" s="14">
        <f>DATE(2026,5,25)</f>
        <v>46167</v>
      </c>
      <c r="E47" t="s">
        <v>634</v>
      </c>
      <c r="F47" t="s">
        <v>635</v>
      </c>
    </row>
    <row r="49" spans="1:2" ht="15.6" x14ac:dyDescent="0.3">
      <c r="A49" s="111" t="s">
        <v>637</v>
      </c>
    </row>
    <row r="50" spans="1:2" x14ac:dyDescent="0.3">
      <c r="A50" t="s">
        <v>638</v>
      </c>
      <c r="B50">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7823B-536D-4B1E-B4A1-C6AD9872A4D8}">
  <dimension ref="A1:Q8"/>
  <sheetViews>
    <sheetView workbookViewId="0">
      <pane ySplit="1" topLeftCell="A2" activePane="bottomLeft" state="frozen"/>
      <selection pane="bottomLeft" activeCell="B9" sqref="B9"/>
    </sheetView>
  </sheetViews>
  <sheetFormatPr baseColWidth="10" defaultRowHeight="14.4" x14ac:dyDescent="0.3"/>
  <cols>
    <col min="1" max="1" width="5.5546875" customWidth="1"/>
    <col min="2" max="17" width="25.88671875" customWidth="1"/>
  </cols>
  <sheetData>
    <row r="1" spans="1:17" x14ac:dyDescent="0.3">
      <c r="A1" s="2" t="s">
        <v>5</v>
      </c>
      <c r="B1" s="1" t="s">
        <v>6</v>
      </c>
      <c r="C1" s="1" t="s">
        <v>7</v>
      </c>
      <c r="D1" s="2" t="s">
        <v>8</v>
      </c>
      <c r="E1" s="2" t="s">
        <v>9</v>
      </c>
      <c r="F1" s="2" t="s">
        <v>10</v>
      </c>
      <c r="G1" s="2" t="s">
        <v>11</v>
      </c>
      <c r="H1" s="2" t="s">
        <v>12</v>
      </c>
      <c r="I1" s="2" t="s">
        <v>13</v>
      </c>
      <c r="J1" s="2" t="s">
        <v>14</v>
      </c>
      <c r="K1" s="2" t="s">
        <v>15</v>
      </c>
      <c r="L1" s="2" t="s">
        <v>16</v>
      </c>
      <c r="M1" s="2" t="s">
        <v>17</v>
      </c>
      <c r="N1" s="2" t="s">
        <v>18</v>
      </c>
      <c r="O1" s="3" t="s">
        <v>19</v>
      </c>
      <c r="P1" s="3" t="s">
        <v>20</v>
      </c>
      <c r="Q1" s="2" t="s">
        <v>21</v>
      </c>
    </row>
    <row r="2" spans="1:17" x14ac:dyDescent="0.3">
      <c r="A2" s="5">
        <v>1</v>
      </c>
      <c r="B2" s="4" t="str">
        <f>'🗄️ BD Source'!B5</f>
        <v>Claudeane</v>
      </c>
      <c r="C2" s="4" t="str">
        <f>'🗄️ BD Source'!C5</f>
        <v>GVA → ZRH → GRU (São Paulo)</v>
      </c>
      <c r="D2" s="16">
        <f>'🗄️ BD Source'!D5</f>
        <v>46139</v>
      </c>
      <c r="E2" s="7">
        <f>'🗄️ BD Source'!E5</f>
        <v>0.83680555555555558</v>
      </c>
      <c r="F2" s="16">
        <f>'🗄️ BD Source'!F5</f>
        <v>46140</v>
      </c>
      <c r="G2" s="7">
        <f>'🗄️ BD Source'!G5</f>
        <v>0.22569444444444445</v>
      </c>
      <c r="H2" s="4" t="str">
        <f>'🗄️ BD Source'!H5</f>
        <v>SWISS</v>
      </c>
      <c r="I2" s="4" t="str">
        <f>'🗄️ BD Source'!I5</f>
        <v>LX2819 + LX92</v>
      </c>
      <c r="J2" s="4" t="str">
        <f>'🗄️ BD Source'!J5</f>
        <v>Economy Light (K)</v>
      </c>
      <c r="K2" s="8" t="str">
        <f>'🗄️ BD Source'!K5</f>
        <v>YS3VET</v>
      </c>
      <c r="L2" s="4" t="str">
        <f>'🗄️ BD Source'!L5</f>
        <v>1 main (8kg, 118lcm)</v>
      </c>
      <c r="M2" s="10" t="str">
        <f>'🗄️ BD Source'!M5</f>
        <v>⚠️ 0 SOUTE</v>
      </c>
      <c r="N2" s="11" t="str">
        <f>'🗄️ BD Source'!N5</f>
        <v>Non sélectionnés</v>
      </c>
      <c r="O2" s="12">
        <f>'🗄️ BD Source'!O5</f>
        <v>290.14999999999998</v>
      </c>
      <c r="P2" s="4">
        <f>'🗄️ BD Source'!P5</f>
        <v>0</v>
      </c>
      <c r="Q2" s="13" t="str">
        <f>'🗄️ BD Source'!Q5</f>
        <v>✅ Payé - MC ****4753</v>
      </c>
    </row>
    <row r="3" spans="1:17" x14ac:dyDescent="0.3">
      <c r="A3" s="5">
        <v>2</v>
      </c>
      <c r="B3" s="4" t="str">
        <f>'🗄️ BD Source'!B6</f>
        <v>Claudeane</v>
      </c>
      <c r="C3" s="4" t="str">
        <f>'🗄️ BD Source'!C6</f>
        <v>VCP (São Paulo) → BEL → Ourilândia do Norte</v>
      </c>
      <c r="D3" s="16">
        <f>'🗄️ BD Source'!D6</f>
        <v>46149</v>
      </c>
      <c r="E3" s="7">
        <f>'🗄️ BD Source'!E6</f>
        <v>0.90625</v>
      </c>
      <c r="F3" s="16">
        <f>'🗄️ BD Source'!F6</f>
        <v>46150</v>
      </c>
      <c r="G3" s="7">
        <f>'🗄️ BD Source'!G6</f>
        <v>0.40625</v>
      </c>
      <c r="H3" s="4" t="str">
        <f>'🗄️ BD Source'!H6</f>
        <v>Azul (via Trip.com)</v>
      </c>
      <c r="I3" s="4" t="str">
        <f>'🗄️ BD Source'!I6</f>
        <v>AD2954 + AD5108</v>
      </c>
      <c r="J3" s="4" t="str">
        <f>'🗄️ BD Source'!J6</f>
        <v>Economy</v>
      </c>
      <c r="K3" s="8" t="str">
        <f>'🗄️ BD Source'!K6</f>
        <v>TNG1NT / AKE4YZ</v>
      </c>
      <c r="L3" s="4" t="str">
        <f>'🗄️ BD Source'!L6</f>
        <v>1 pers + 1 cabine (10kg)</v>
      </c>
      <c r="M3" s="17" t="str">
        <f>'🗄️ BD Source'!M6</f>
        <v>✅ 1 soute (23kg)</v>
      </c>
      <c r="N3" s="11" t="str">
        <f>'🗄️ BD Source'!N6</f>
        <v>Non sélectionnés</v>
      </c>
      <c r="O3" s="12">
        <f>'🗄️ BD Source'!O6</f>
        <v>311.8</v>
      </c>
      <c r="P3" s="4">
        <f>'🗄️ BD Source'!P6</f>
        <v>0</v>
      </c>
      <c r="Q3" s="11" t="str">
        <f>'🗄️ BD Source'!Q6</f>
        <v>⚠️ En Espera (Trip.com)</v>
      </c>
    </row>
    <row r="4" spans="1:17" x14ac:dyDescent="0.3">
      <c r="A4" s="5">
        <v>3</v>
      </c>
      <c r="B4" s="4" t="str">
        <f>'🗄️ BD Source'!B7</f>
        <v>Claudio</v>
      </c>
      <c r="C4" s="4" t="str">
        <f>'🗄️ BD Source'!C7</f>
        <v>GVA → Lisbonne → FOR (Fortaleza)</v>
      </c>
      <c r="D4" s="16">
        <f>'🗄️ BD Source'!D7</f>
        <v>46165</v>
      </c>
      <c r="E4" s="7">
        <f>'🗄️ BD Source'!E7</f>
        <v>0.54166666666666663</v>
      </c>
      <c r="F4" s="16">
        <f>'🗄️ BD Source'!F7</f>
        <v>46165</v>
      </c>
      <c r="G4" s="7">
        <f>'🗄️ BD Source'!G7</f>
        <v>0.88888888888888884</v>
      </c>
      <c r="H4" s="4" t="str">
        <f>'🗄️ BD Source'!H7</f>
        <v>TAP Portugal</v>
      </c>
      <c r="I4" s="4" t="str">
        <f>'🗄️ BD Source'!I7</f>
        <v>TP941 + TP35</v>
      </c>
      <c r="J4" s="4" t="str">
        <f>'🗄️ BD Source'!J7</f>
        <v>Économique</v>
      </c>
      <c r="K4" s="8" t="str">
        <f>'🗄️ BD Source'!K7</f>
        <v>XR2CPW</v>
      </c>
      <c r="L4" s="4" t="str">
        <f>'🗄️ BD Source'!L7</f>
        <v>1 petit + 1 cabine (10kg)</v>
      </c>
      <c r="M4" s="10" t="str">
        <f>'🗄️ BD Source'!M7</f>
        <v>⚠️ 0 SOUTE</v>
      </c>
      <c r="N4" s="11" t="str">
        <f>'🗄️ BD Source'!N7</f>
        <v>Non sélectionnés</v>
      </c>
      <c r="O4" s="12">
        <f>'🗄️ BD Source'!O7</f>
        <v>845.81</v>
      </c>
      <c r="P4" s="4">
        <f>'🗄️ BD Source'!P7</f>
        <v>0</v>
      </c>
      <c r="Q4" s="13" t="str">
        <f>'🗄️ BD Source'!Q7</f>
        <v>✅ Payé - Booking.com (A/R)</v>
      </c>
    </row>
    <row r="5" spans="1:17" x14ac:dyDescent="0.3">
      <c r="A5" s="5">
        <v>4</v>
      </c>
      <c r="B5" s="4" t="str">
        <f>'🗄️ BD Source'!B8</f>
        <v>Claudio</v>
      </c>
      <c r="C5" s="4" t="str">
        <f>'🗄️ BD Source'!C8</f>
        <v>FOR → Lisbonne → GVA (retour)</v>
      </c>
      <c r="D5" s="16">
        <f>'🗄️ BD Source'!D8</f>
        <v>46178</v>
      </c>
      <c r="E5" s="7">
        <f>'🗄️ BD Source'!E8</f>
        <v>0.95138888888888884</v>
      </c>
      <c r="F5" s="16">
        <f>'🗄️ BD Source'!F8</f>
        <v>46179</v>
      </c>
      <c r="G5" s="7">
        <f>'🗄️ BD Source'!G8</f>
        <v>0.72916666666666663</v>
      </c>
      <c r="H5" s="4" t="str">
        <f>'🗄️ BD Source'!H8</f>
        <v>TAP Portugal</v>
      </c>
      <c r="I5" s="4" t="str">
        <f>'🗄️ BD Source'!I8</f>
        <v>TP36 + TP942</v>
      </c>
      <c r="J5" s="4" t="str">
        <f>'🗄️ BD Source'!J8</f>
        <v>Économique</v>
      </c>
      <c r="K5" s="8" t="str">
        <f>'🗄️ BD Source'!K8</f>
        <v>XR2CPW</v>
      </c>
      <c r="L5" s="4" t="str">
        <f>'🗄️ BD Source'!L8</f>
        <v>1 petit + 1 cabine (10kg)</v>
      </c>
      <c r="M5" s="10" t="str">
        <f>'🗄️ BD Source'!M8</f>
        <v>⚠️ 0 SOUTE</v>
      </c>
      <c r="N5" s="13" t="str">
        <f>'🗄️ BD Source'!N8</f>
        <v>10A (TP36) / 7E (TP942)</v>
      </c>
      <c r="O5" s="12">
        <f>'🗄️ BD Source'!O8</f>
        <v>0</v>
      </c>
      <c r="P5" s="4">
        <f>'🗄️ BD Source'!P8</f>
        <v>0</v>
      </c>
      <c r="Q5" s="13" t="str">
        <f>'🗄️ BD Source'!Q8</f>
        <v>✅ Inclus A/R (845.81 CHF)</v>
      </c>
    </row>
    <row r="6" spans="1:17" x14ac:dyDescent="0.3">
      <c r="A6" s="5">
        <v>5</v>
      </c>
      <c r="B6" s="4" t="str">
        <f>'🗄️ BD Source'!B9</f>
        <v>Claudeane</v>
      </c>
      <c r="C6" s="4" t="str">
        <f>'🗄️ BD Source'!C9</f>
        <v>FOR → Lisbonne → GVA (retour)</v>
      </c>
      <c r="D6" s="16">
        <f>'🗄️ BD Source'!D9</f>
        <v>46178</v>
      </c>
      <c r="E6" s="7">
        <f>'🗄️ BD Source'!E9</f>
        <v>0.95138888888888884</v>
      </c>
      <c r="F6" s="16">
        <f>'🗄️ BD Source'!F9</f>
        <v>46179</v>
      </c>
      <c r="G6" s="7">
        <f>'🗄️ BD Source'!G9</f>
        <v>0.72916666666666663</v>
      </c>
      <c r="H6" s="4" t="str">
        <f>'🗄️ BD Source'!H9</f>
        <v>TAP Portugal</v>
      </c>
      <c r="I6" s="4" t="str">
        <f>'🗄️ BD Source'!I9</f>
        <v>TP36 + TP942</v>
      </c>
      <c r="J6" s="4" t="str">
        <f>'🗄️ BD Source'!J9</f>
        <v>Économique</v>
      </c>
      <c r="K6" s="8" t="str">
        <f>'🗄️ BD Source'!K9</f>
        <v>XR85TH</v>
      </c>
      <c r="L6" s="4" t="str">
        <f>'🗄️ BD Source'!L9</f>
        <v>1 petit + 1 cabine (10kg)</v>
      </c>
      <c r="M6" s="17" t="str">
        <f>'🗄️ BD Source'!M9</f>
        <v>✅ 1 soute (23kg)</v>
      </c>
      <c r="N6" s="13" t="str">
        <f>'🗄️ BD Source'!N9</f>
        <v>10C (TP36) / 7F (TP942)</v>
      </c>
      <c r="O6" s="12">
        <f>'🗄️ BD Source'!O9</f>
        <v>552.15</v>
      </c>
      <c r="P6" s="4">
        <f>'🗄️ BD Source'!P9</f>
        <v>0</v>
      </c>
      <c r="Q6" s="13" t="str">
        <f>'🗄️ BD Source'!Q9</f>
        <v>✅ Payé - Booking.com</v>
      </c>
    </row>
    <row r="7" spans="1:17" x14ac:dyDescent="0.3">
      <c r="A7" s="5">
        <v>6</v>
      </c>
      <c r="B7" s="4" t="str">
        <f>'🗄️ BD Source'!B10</f>
        <v>Claudeane + Lucileide + Jhemerson</v>
      </c>
      <c r="C7" s="4" t="str">
        <f>'🗄️ BD Source'!C10</f>
        <v>MAB (Marabá) → BEL (Belém)</v>
      </c>
      <c r="D7" s="16">
        <f>'🗄️ BD Source'!D10</f>
        <v>46167</v>
      </c>
      <c r="E7" s="7">
        <f>'🗄️ BD Source'!E10</f>
        <v>0.61805555555555558</v>
      </c>
      <c r="F7" s="16">
        <f>'🗄️ BD Source'!F10</f>
        <v>46167</v>
      </c>
      <c r="G7" s="7">
        <f>'🗄️ BD Source'!G10</f>
        <v>0.66319444444444442</v>
      </c>
      <c r="H7" s="4" t="str">
        <f>'🗄️ BD Source'!H10</f>
        <v>Azul</v>
      </c>
      <c r="I7" s="4" t="str">
        <f>'🗄️ BD Source'!I10</f>
        <v>AD 4210</v>
      </c>
      <c r="J7" s="4" t="str">
        <f>'🗄️ BD Source'!J10</f>
        <v>—</v>
      </c>
      <c r="K7" s="8" t="str">
        <f>'🗄️ BD Source'!K10</f>
        <v>MJ5NQC</v>
      </c>
      <c r="L7" s="11" t="str">
        <f>'🗄️ BD Source'!L10</f>
        <v>0 (non sélectionné)</v>
      </c>
      <c r="M7" s="68" t="str">
        <f>'🗄️ BD Source'!M10</f>
        <v>0 (non sélectionné)</v>
      </c>
      <c r="N7" s="13" t="str">
        <f>'🗄️ BD Source'!N10</f>
        <v>11D / 11E / 11F</v>
      </c>
      <c r="O7" s="4">
        <f>'🗄️ BD Source'!O10</f>
        <v>0</v>
      </c>
      <c r="P7" s="12">
        <f>'🗄️ BD Source'!P10</f>
        <v>1300.17</v>
      </c>
      <c r="Q7" s="68" t="str">
        <f>'🗄️ BD Source'!Q10</f>
        <v>⚠️ EN ESPERA - 3 pax</v>
      </c>
    </row>
    <row r="8" spans="1:17" x14ac:dyDescent="0.3">
      <c r="A8" s="5">
        <v>7</v>
      </c>
      <c r="B8" s="4" t="str">
        <f>'🗄️ BD Source'!B11</f>
        <v>Claudeane + Lucileide + Jhemerson</v>
      </c>
      <c r="C8" s="4" t="str">
        <f>'🗄️ BD Source'!C11</f>
        <v>BEL (Belém) → FOR (Fortaleza)</v>
      </c>
      <c r="D8" s="16">
        <f>'🗄️ BD Source'!D11</f>
        <v>46167</v>
      </c>
      <c r="E8" s="7">
        <f>'🗄️ BD Source'!E11</f>
        <v>0.75</v>
      </c>
      <c r="F8" s="16">
        <f>'🗄️ BD Source'!F11</f>
        <v>46167</v>
      </c>
      <c r="G8" s="7">
        <f>'🗄️ BD Source'!G11</f>
        <v>0.82986111111111116</v>
      </c>
      <c r="H8" s="4" t="str">
        <f>'🗄️ BD Source'!H11</f>
        <v>Azul</v>
      </c>
      <c r="I8" s="4" t="str">
        <f>'🗄️ BD Source'!I11</f>
        <v>AD 4101</v>
      </c>
      <c r="J8" s="4" t="str">
        <f>'🗄️ BD Source'!J11</f>
        <v>—</v>
      </c>
      <c r="K8" s="8" t="str">
        <f>'🗄️ BD Source'!K11</f>
        <v>ON3LQT</v>
      </c>
      <c r="L8" s="11" t="str">
        <f>'🗄️ BD Source'!L11</f>
        <v>0 (non sélectionné)</v>
      </c>
      <c r="M8" s="68" t="str">
        <f>'🗄️ BD Source'!M11</f>
        <v>0 (non sélectionné)</v>
      </c>
      <c r="N8" s="13" t="str">
        <f>'🗄️ BD Source'!N11</f>
        <v>11A / 11B / 11C</v>
      </c>
      <c r="O8" s="4">
        <f>'🗄️ BD Source'!O11</f>
        <v>0</v>
      </c>
      <c r="P8" s="12">
        <f>'🗄️ BD Source'!P11</f>
        <v>799.14</v>
      </c>
      <c r="Q8" s="68" t="str">
        <f>'🗄️ BD Source'!Q11</f>
        <v>⚠️ EN ESPERA - 3 pax</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A4ADA-DD87-41BC-A680-1FADBE7600AF}">
  <dimension ref="A1:P6"/>
  <sheetViews>
    <sheetView workbookViewId="0">
      <pane ySplit="1" topLeftCell="A2" activePane="bottomLeft" state="frozen"/>
      <selection pane="bottomLeft"/>
    </sheetView>
  </sheetViews>
  <sheetFormatPr baseColWidth="10" defaultRowHeight="14.4" x14ac:dyDescent="0.3"/>
  <cols>
    <col min="2" max="16" width="24.109375" customWidth="1"/>
  </cols>
  <sheetData>
    <row r="1" spans="1:16" x14ac:dyDescent="0.3">
      <c r="A1" s="19" t="s">
        <v>5</v>
      </c>
      <c r="B1" s="18" t="s">
        <v>56</v>
      </c>
      <c r="C1" s="18" t="s">
        <v>57</v>
      </c>
      <c r="D1" s="19" t="s">
        <v>58</v>
      </c>
      <c r="E1" s="19" t="s">
        <v>59</v>
      </c>
      <c r="F1" s="19" t="s">
        <v>60</v>
      </c>
      <c r="G1" s="19" t="s">
        <v>61</v>
      </c>
      <c r="H1" s="19" t="s">
        <v>62</v>
      </c>
      <c r="I1" s="19" t="s">
        <v>63</v>
      </c>
      <c r="J1" s="19" t="s">
        <v>64</v>
      </c>
      <c r="K1" s="19" t="s">
        <v>65</v>
      </c>
      <c r="L1" s="19" t="s">
        <v>66</v>
      </c>
      <c r="M1" s="19" t="s">
        <v>67</v>
      </c>
      <c r="N1" s="19" t="s">
        <v>68</v>
      </c>
      <c r="O1" s="19" t="s">
        <v>69</v>
      </c>
      <c r="P1" s="19" t="s">
        <v>70</v>
      </c>
    </row>
    <row r="2" spans="1:16" x14ac:dyDescent="0.3">
      <c r="A2" s="5">
        <v>1</v>
      </c>
      <c r="B2" s="8" t="str">
        <f>'🗄️ BD Source'!C15</f>
        <v>Free Palace Hotel</v>
      </c>
      <c r="C2" s="4" t="str">
        <f>'🗄️ BD Source'!D15</f>
        <v>São Paulo</v>
      </c>
      <c r="D2" s="5" t="str">
        <f>TEXT('🗄️ BD Source'!E15,"jj/MM/aaaa")&amp;" "&amp;TEXT('🗄️ BD Source'!F15,"HH:mm")</f>
        <v>27/04/2026 13:00</v>
      </c>
      <c r="E2" s="5" t="str">
        <f>TEXT('🗄️ BD Source'!G15,"jj/MM/aaaa")&amp;" "&amp;TEXT('🗄️ BD Source'!H15,"HH:mm")</f>
        <v>30/04/2026 12:00</v>
      </c>
      <c r="F2" s="5">
        <f>'🗄️ BD Source'!I15</f>
        <v>3</v>
      </c>
      <c r="G2" s="5" t="str">
        <f>'🗄️ BD Source'!B15</f>
        <v>Claudeane (+ fille)</v>
      </c>
      <c r="H2" s="5" t="str">
        <f>'🗄️ BD Source'!J15</f>
        <v>Lits Jumeaux Standard</v>
      </c>
      <c r="I2" s="20" t="str">
        <f>'🗄️ BD Source'!K15</f>
        <v>✅ OUI</v>
      </c>
      <c r="J2" s="21">
        <f>'🗄️ BD Source'!L15</f>
        <v>103</v>
      </c>
      <c r="K2" s="12">
        <f>'🗄️ BD Source'!M15</f>
        <v>691.65</v>
      </c>
      <c r="L2" s="11" t="str">
        <f>'🗄️ BD Source'!N15</f>
        <v>❌ NON requis</v>
      </c>
      <c r="M2" s="5" t="str">
        <f>'🗄️ BD Source'!O15</f>
        <v>24/04/2026</v>
      </c>
      <c r="N2" s="4">
        <f>'🗄️ BD Source'!P15</f>
        <v>5474140188</v>
      </c>
      <c r="O2" s="4" t="str">
        <f>'🗄️ BD Source'!Q15</f>
        <v>R$ 35/jour</v>
      </c>
      <c r="P2" s="4" t="str">
        <f>'🗄️ BD Source'!R15</f>
        <v>Gratuit</v>
      </c>
    </row>
    <row r="3" spans="1:16" x14ac:dyDescent="0.3">
      <c r="A3" s="5">
        <v>2</v>
      </c>
      <c r="B3" s="8" t="str">
        <f>'🗄️ BD Source'!C16</f>
        <v>Maly Boutique Hotel</v>
      </c>
      <c r="C3" s="4" t="str">
        <f>'🗄️ BD Source'!D16</f>
        <v>Fortaleza (Praia do Futuro)</v>
      </c>
      <c r="D3" s="5" t="str">
        <f>TEXT('🗄️ BD Source'!E16,"jj/MM/aaaa")&amp;" "&amp;TEXT('🗄️ BD Source'!F16,"HH:mm")</f>
        <v>23/05/2026 14:00</v>
      </c>
      <c r="E3" s="5" t="str">
        <f>TEXT('🗄️ BD Source'!G16,"jj/MM/aaaa")&amp;" "&amp;TEXT('🗄️ BD Source'!H16,"HH:mm")</f>
        <v>25/05/2026 12:00</v>
      </c>
      <c r="F3" s="5">
        <f>'🗄️ BD Source'!I16</f>
        <v>2</v>
      </c>
      <c r="G3" s="5" t="str">
        <f>'🗄️ BD Source'!B16</f>
        <v>Claudio (seul)</v>
      </c>
      <c r="H3" s="5" t="str">
        <f>'🗄️ BD Source'!J16</f>
        <v>Suite avec Balcon (vue jardin/piscine)</v>
      </c>
      <c r="I3" s="20" t="str">
        <f>'🗄️ BD Source'!K16</f>
        <v>✅ OUI</v>
      </c>
      <c r="J3" s="21">
        <f>'🗄️ BD Source'!L16</f>
        <v>116</v>
      </c>
      <c r="K3" s="12">
        <f>'🗄️ BD Source'!M16</f>
        <v>779.62</v>
      </c>
      <c r="L3" s="13" t="str">
        <f>'🗄️ BD Source'!N16</f>
        <v>✅ OUI - Prépaiement total</v>
      </c>
      <c r="M3" s="5" t="str">
        <f>'🗄️ BD Source'!O16</f>
        <v>17/05/2026</v>
      </c>
      <c r="N3" s="4">
        <f>'🗄️ BD Source'!P16</f>
        <v>5987193612</v>
      </c>
      <c r="O3" s="4" t="str">
        <f>'🗄️ BD Source'!Q16</f>
        <v>Pas de parking</v>
      </c>
      <c r="P3" s="4" t="str">
        <f>'🗄️ BD Source'!R16</f>
        <v>Gratuit</v>
      </c>
    </row>
    <row r="4" spans="1:16" x14ac:dyDescent="0.3">
      <c r="A4" s="5">
        <v>3</v>
      </c>
      <c r="B4" s="8" t="str">
        <f>'🗄️ BD Source'!C17</f>
        <v>Hotel Encontro do Sol</v>
      </c>
      <c r="C4" s="4" t="str">
        <f>'🗄️ BD Source'!D17</f>
        <v>Fortaleza (Meireles)</v>
      </c>
      <c r="D4" s="5" t="str">
        <f>TEXT('🗄️ BD Source'!E17,"jj/MM/aaaa")&amp;" "&amp;TEXT('🗄️ BD Source'!F17,"HH:mm")</f>
        <v>25/05/2026 13:30</v>
      </c>
      <c r="E4" s="5" t="str">
        <f>TEXT('🗄️ BD Source'!G17,"jj/MM/aaaa")&amp;" "&amp;TEXT('🗄️ BD Source'!H17,"HH:mm")</f>
        <v>27/05/2026 12:00</v>
      </c>
      <c r="F4" s="5">
        <f>'🗄️ BD Source'!I17</f>
        <v>2</v>
      </c>
      <c r="G4" s="5" t="str">
        <f>'🗄️ BD Source'!B17</f>
        <v>Claudio + Claudeane + Lucileide + Jhemerson</v>
      </c>
      <c r="H4" s="5" t="str">
        <f>'🗄️ BD Source'!J17</f>
        <v>Quadruple Classique</v>
      </c>
      <c r="I4" s="20" t="str">
        <f>'🗄️ BD Source'!K17</f>
        <v>✅ OUI</v>
      </c>
      <c r="J4" s="21">
        <f>'🗄️ BD Source'!L17</f>
        <v>125</v>
      </c>
      <c r="K4" s="12">
        <f>'🗄️ BD Source'!M17</f>
        <v>840</v>
      </c>
      <c r="L4" s="11" t="str">
        <f>'🗄️ BD Source'!N17</f>
        <v>❌ NON PAYÉ — 50% à payer avant le 09/04/2026 (15j avant annul. 24/04)</v>
      </c>
      <c r="M4" s="5" t="str">
        <f>'🗄️ BD Source'!O17</f>
        <v>24/04/2026</v>
      </c>
      <c r="N4" s="4">
        <f>'🗄️ BD Source'!P17</f>
        <v>5331265550</v>
      </c>
      <c r="O4" s="4" t="str">
        <f>'🗄️ BD Source'!Q17</f>
        <v>Pas de parking</v>
      </c>
      <c r="P4" s="4" t="str">
        <f>'🗄️ BD Source'!R17</f>
        <v>Gratuit</v>
      </c>
    </row>
    <row r="5" spans="1:16" x14ac:dyDescent="0.3">
      <c r="A5" s="5">
        <v>4</v>
      </c>
      <c r="B5" s="8" t="str">
        <f>'🗄️ BD Source'!C18</f>
        <v>ASAS DEL MAR - SUITES</v>
      </c>
      <c r="C5" s="4" t="str">
        <f>'🗄️ BD Source'!D18</f>
        <v>Canoa Quebrada</v>
      </c>
      <c r="D5" s="5" t="str">
        <f>TEXT('🗄️ BD Source'!E18,"jj/MM/aaaa")&amp;" "&amp;TEXT('🗄️ BD Source'!F18,"HH:mm")</f>
        <v>27/05/2026 14:00</v>
      </c>
      <c r="E5" s="5" t="str">
        <f>TEXT('🗄️ BD Source'!G18,"jj/MM/aaaa")&amp;" "&amp;TEXT('🗄️ BD Source'!H18,"HH:mm")</f>
        <v>30/05/2026 12:00</v>
      </c>
      <c r="F5" s="5">
        <f>'🗄️ BD Source'!I18</f>
        <v>3</v>
      </c>
      <c r="G5" s="5" t="str">
        <f>'🗄️ BD Source'!B18</f>
        <v>Claudio + Claudeane + Lucileide + Jhemerson</v>
      </c>
      <c r="H5" s="5" t="str">
        <f>'🗄️ BD Source'!J18</f>
        <v>Quadruple - Vue sur Mer</v>
      </c>
      <c r="I5" s="22" t="str">
        <f>'🗄️ BD Source'!K18</f>
        <v>Non mentionné</v>
      </c>
      <c r="J5" s="21">
        <f>'🗄️ BD Source'!L18</f>
        <v>294</v>
      </c>
      <c r="K5" s="12">
        <f>'🗄️ BD Source'!M18</f>
        <v>1968</v>
      </c>
      <c r="L5" s="11" t="str">
        <f>'🗄️ BD Source'!N18</f>
        <v>❌ NON PAYÉ — Conditions à vérifier. Si 50%: payer avant le 04/05/2026 (15j avant annul. 19/05)</v>
      </c>
      <c r="M5" s="5" t="str">
        <f>'🗄️ BD Source'!O18</f>
        <v>19/05/2026</v>
      </c>
      <c r="N5" s="4">
        <f>'🗄️ BD Source'!P18</f>
        <v>6862089551</v>
      </c>
      <c r="O5" s="4" t="str">
        <f>'🗄️ BD Source'!Q18</f>
        <v>Gratuit (public)</v>
      </c>
      <c r="P5" s="4" t="str">
        <f>'🗄️ BD Source'!R18</f>
        <v>Gratuit</v>
      </c>
    </row>
    <row r="6" spans="1:16" x14ac:dyDescent="0.3">
      <c r="A6" s="5">
        <v>5</v>
      </c>
      <c r="B6" s="8" t="str">
        <f>'🗄️ BD Source'!C19</f>
        <v>Pousada Bangalô</v>
      </c>
      <c r="C6" s="4" t="str">
        <f>'🗄️ BD Source'!D19</f>
        <v>Jericoacoara</v>
      </c>
      <c r="D6" s="5" t="str">
        <f>TEXT('🗄️ BD Source'!E19,"jj/MM/aaaa")&amp;" "&amp;TEXT('🗄️ BD Source'!F19,"HH:mm")</f>
        <v>01/06/2026 12:00</v>
      </c>
      <c r="E6" s="5" t="str">
        <f>TEXT('🗄️ BD Source'!G19,"jj/MM/aaaa")&amp;" "&amp;TEXT('🗄️ BD Source'!H19,"HH:mm")</f>
        <v>03/06/2026 12:00</v>
      </c>
      <c r="F6" s="5">
        <f>'🗄️ BD Source'!I19</f>
        <v>2</v>
      </c>
      <c r="G6" s="5" t="str">
        <f>'🗄️ BD Source'!B19</f>
        <v>Claudio + Claudeane + Lucileide + Jhemerson</v>
      </c>
      <c r="H6" s="5" t="str">
        <f>'🗄️ BD Source'!J19</f>
        <v>2× Double/Twin Standard</v>
      </c>
      <c r="I6" s="22" t="str">
        <f>'🗄️ BD Source'!K19</f>
        <v>✅ OUI</v>
      </c>
      <c r="J6" s="21">
        <f>'🗄️ BD Source'!L19</f>
        <v>129</v>
      </c>
      <c r="K6" s="12">
        <f>'🗄️ BD Source'!M19</f>
        <v>861.12</v>
      </c>
      <c r="L6" s="11" t="str">
        <f>'🗄️ BD Source'!N19</f>
        <v>❌ NON PAYÉ — 50% à payer avant le 11/05/2026 (15j avant annul. 26/05)</v>
      </c>
      <c r="M6" s="5" t="str">
        <f>'🗄️ BD Source'!O19</f>
        <v>26/05/2026</v>
      </c>
      <c r="N6" s="4" t="str">
        <f>'🗄️ BD Source'!P19</f>
        <v>5620.348.709</v>
      </c>
      <c r="O6" s="4" t="str">
        <f>'🗄️ BD Source'!Q19</f>
        <v>Public (supplément possible)</v>
      </c>
      <c r="P6" s="4" t="str">
        <f>'🗄️ BD Source'!R19</f>
        <v>Gratuit</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FC695-2E3B-4C31-87AA-6D4165705C22}">
  <dimension ref="A1:C33"/>
  <sheetViews>
    <sheetView workbookViewId="0"/>
  </sheetViews>
  <sheetFormatPr baseColWidth="10" defaultRowHeight="14.4" x14ac:dyDescent="0.3"/>
  <cols>
    <col min="1" max="1" width="33.33203125" customWidth="1"/>
    <col min="2" max="2" width="55.5546875" customWidth="1"/>
  </cols>
  <sheetData>
    <row r="1" spans="1:3" ht="18" x14ac:dyDescent="0.35">
      <c r="A1" s="23" t="s">
        <v>103</v>
      </c>
      <c r="B1" s="24"/>
      <c r="C1" s="24"/>
    </row>
    <row r="2" spans="1:3" x14ac:dyDescent="0.3">
      <c r="A2" s="4"/>
    </row>
    <row r="3" spans="1:3" x14ac:dyDescent="0.3">
      <c r="A3" s="25" t="s">
        <v>104</v>
      </c>
      <c r="B3" s="8" t="s">
        <v>105</v>
      </c>
    </row>
    <row r="4" spans="1:3" x14ac:dyDescent="0.3">
      <c r="A4" s="25" t="s">
        <v>106</v>
      </c>
      <c r="B4" s="4" t="s">
        <v>107</v>
      </c>
    </row>
    <row r="5" spans="1:3" x14ac:dyDescent="0.3">
      <c r="A5" s="25" t="s">
        <v>108</v>
      </c>
      <c r="B5" s="4" t="s">
        <v>109</v>
      </c>
    </row>
    <row r="6" spans="1:3" x14ac:dyDescent="0.3">
      <c r="A6" s="25" t="s">
        <v>110</v>
      </c>
      <c r="B6" s="4" t="s">
        <v>111</v>
      </c>
    </row>
    <row r="7" spans="1:3" x14ac:dyDescent="0.3">
      <c r="A7" s="4"/>
    </row>
    <row r="8" spans="1:3" x14ac:dyDescent="0.3">
      <c r="A8" s="26" t="s">
        <v>112</v>
      </c>
      <c r="B8" s="27"/>
      <c r="C8" s="27"/>
    </row>
    <row r="9" spans="1:3" x14ac:dyDescent="0.3">
      <c r="A9" s="25" t="s">
        <v>0</v>
      </c>
      <c r="B9" s="4" t="s">
        <v>113</v>
      </c>
    </row>
    <row r="10" spans="1:3" x14ac:dyDescent="0.3">
      <c r="A10" s="25" t="s">
        <v>114</v>
      </c>
      <c r="B10" s="4" t="s">
        <v>115</v>
      </c>
    </row>
    <row r="11" spans="1:3" x14ac:dyDescent="0.3">
      <c r="A11" s="25" t="s">
        <v>116</v>
      </c>
      <c r="B11" s="4" t="s">
        <v>117</v>
      </c>
    </row>
    <row r="12" spans="1:3" x14ac:dyDescent="0.3">
      <c r="A12" s="25" t="s">
        <v>118</v>
      </c>
      <c r="B12" s="4" t="s">
        <v>119</v>
      </c>
    </row>
    <row r="13" spans="1:3" x14ac:dyDescent="0.3">
      <c r="A13" s="4"/>
    </row>
    <row r="14" spans="1:3" x14ac:dyDescent="0.3">
      <c r="A14" s="26" t="s">
        <v>120</v>
      </c>
      <c r="B14" s="27"/>
      <c r="C14" s="27"/>
    </row>
    <row r="15" spans="1:3" x14ac:dyDescent="0.3">
      <c r="A15" s="25" t="s">
        <v>0</v>
      </c>
      <c r="B15" s="4" t="s">
        <v>121</v>
      </c>
    </row>
    <row r="16" spans="1:3" x14ac:dyDescent="0.3">
      <c r="A16" s="25" t="s">
        <v>114</v>
      </c>
      <c r="B16" s="4" t="s">
        <v>122</v>
      </c>
    </row>
    <row r="17" spans="1:3" x14ac:dyDescent="0.3">
      <c r="A17" s="4"/>
    </row>
    <row r="18" spans="1:3" x14ac:dyDescent="0.3">
      <c r="A18" s="26" t="s">
        <v>123</v>
      </c>
      <c r="B18" s="27"/>
      <c r="C18" s="27"/>
    </row>
    <row r="19" spans="1:3" x14ac:dyDescent="0.3">
      <c r="A19" s="28" t="s">
        <v>124</v>
      </c>
      <c r="B19" s="4" t="s">
        <v>125</v>
      </c>
      <c r="C19" s="29">
        <v>1442.35</v>
      </c>
    </row>
    <row r="20" spans="1:3" x14ac:dyDescent="0.3">
      <c r="A20" s="4" t="s">
        <v>126</v>
      </c>
      <c r="B20" s="4" t="s">
        <v>127</v>
      </c>
      <c r="C20" s="29">
        <v>169</v>
      </c>
    </row>
    <row r="21" spans="1:3" x14ac:dyDescent="0.3">
      <c r="A21" s="28" t="s">
        <v>128</v>
      </c>
      <c r="B21" s="4" t="s">
        <v>129</v>
      </c>
      <c r="C21" s="29">
        <v>804.44</v>
      </c>
    </row>
    <row r="22" spans="1:3" x14ac:dyDescent="0.3">
      <c r="A22" s="4" t="s">
        <v>130</v>
      </c>
      <c r="B22" s="4" t="s">
        <v>131</v>
      </c>
      <c r="C22" s="29">
        <v>1.69</v>
      </c>
    </row>
    <row r="23" spans="1:3" x14ac:dyDescent="0.3">
      <c r="A23" s="28" t="s">
        <v>132</v>
      </c>
      <c r="B23" s="4" t="s">
        <v>133</v>
      </c>
      <c r="C23" s="29">
        <v>34.950000000000003</v>
      </c>
    </row>
    <row r="24" spans="1:3" x14ac:dyDescent="0.3">
      <c r="A24" s="4" t="s">
        <v>134</v>
      </c>
      <c r="B24" s="4" t="s">
        <v>135</v>
      </c>
      <c r="C24" s="29">
        <v>9234.16</v>
      </c>
    </row>
    <row r="25" spans="1:3" x14ac:dyDescent="0.3">
      <c r="A25" s="4"/>
    </row>
    <row r="26" spans="1:3" x14ac:dyDescent="0.3">
      <c r="A26" s="28" t="s">
        <v>136</v>
      </c>
      <c r="B26" s="4" t="s">
        <v>137</v>
      </c>
      <c r="C26" s="29">
        <v>233.35</v>
      </c>
    </row>
    <row r="27" spans="1:3" x14ac:dyDescent="0.3">
      <c r="A27" s="4" t="s">
        <v>138</v>
      </c>
      <c r="B27" s="4" t="s">
        <v>139</v>
      </c>
      <c r="C27" s="29">
        <v>227.76</v>
      </c>
    </row>
    <row r="28" spans="1:3" x14ac:dyDescent="0.3">
      <c r="A28" s="28" t="s">
        <v>140</v>
      </c>
      <c r="B28" s="4" t="s">
        <v>141</v>
      </c>
      <c r="C28" s="29">
        <v>408.56</v>
      </c>
    </row>
    <row r="29" spans="1:3" x14ac:dyDescent="0.3">
      <c r="A29" s="31" t="s">
        <v>142</v>
      </c>
      <c r="B29" s="32"/>
      <c r="C29" s="33">
        <v>3132.3</v>
      </c>
    </row>
    <row r="31" spans="1:3" x14ac:dyDescent="0.3">
      <c r="A31" s="34" t="s">
        <v>143</v>
      </c>
      <c r="B31" s="4" t="s">
        <v>144</v>
      </c>
    </row>
    <row r="32" spans="1:3" x14ac:dyDescent="0.3">
      <c r="A32" s="34" t="s">
        <v>145</v>
      </c>
      <c r="B32" s="10" t="s">
        <v>146</v>
      </c>
    </row>
    <row r="33" spans="1:2" x14ac:dyDescent="0.3">
      <c r="A33" s="35" t="s">
        <v>147</v>
      </c>
      <c r="B33" s="4" t="s">
        <v>148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D3CA-C03D-410F-8324-136A11694E1F}">
  <dimension ref="A1:E43"/>
  <sheetViews>
    <sheetView workbookViewId="0">
      <pane ySplit="1" topLeftCell="A2" activePane="bottomLeft" state="frozen"/>
      <selection pane="bottomLeft" activeCell="B10" sqref="B10"/>
    </sheetView>
  </sheetViews>
  <sheetFormatPr baseColWidth="10" defaultRowHeight="14.4" x14ac:dyDescent="0.3"/>
  <cols>
    <col min="1" max="1" width="12" customWidth="1"/>
    <col min="3" max="5" width="51.88671875" customWidth="1"/>
  </cols>
  <sheetData>
    <row r="1" spans="1:5" x14ac:dyDescent="0.3">
      <c r="A1" s="2" t="s">
        <v>0</v>
      </c>
      <c r="B1" s="2" t="s">
        <v>149</v>
      </c>
      <c r="C1" s="1" t="s">
        <v>1</v>
      </c>
      <c r="D1" s="1" t="s">
        <v>2</v>
      </c>
      <c r="E1" s="1" t="s">
        <v>150</v>
      </c>
    </row>
    <row r="2" spans="1:5" x14ac:dyDescent="0.3">
      <c r="A2" s="36" t="s">
        <v>151</v>
      </c>
      <c r="B2" s="5" t="s">
        <v>152</v>
      </c>
      <c r="C2" s="4" t="s">
        <v>153</v>
      </c>
      <c r="D2" s="38" t="str">
        <f>"✈️ "&amp;'🗄️ BD Source'!C5&amp;" (dép "&amp;TEXT('🗄️ BD Source'!E5,"HH:mm")&amp;")"</f>
        <v>✈️ GVA → ZRH → GRU (São Paulo) (dép 20:05)</v>
      </c>
      <c r="E2" s="4" t="s">
        <v>154</v>
      </c>
    </row>
    <row r="3" spans="1:5" x14ac:dyDescent="0.3">
      <c r="A3" s="5" t="s">
        <v>155</v>
      </c>
      <c r="B3" s="5" t="s">
        <v>156</v>
      </c>
      <c r="C3" s="4" t="s">
        <v>153</v>
      </c>
      <c r="D3" s="4" t="str">
        <f>"📍Arrivée São Paulo "&amp;TEXT('🗄️ BD Source'!G5,"HH:mm")&amp;" → "&amp;'🗄️ BD Source'!C15</f>
        <v>📍Arrivée São Paulo 05:25 → Free Palace Hotel</v>
      </c>
      <c r="E3" s="4" t="s">
        <v>154</v>
      </c>
    </row>
    <row r="4" spans="1:5" x14ac:dyDescent="0.3">
      <c r="A4" s="5" t="s">
        <v>157</v>
      </c>
      <c r="B4" s="5" t="s">
        <v>158</v>
      </c>
      <c r="C4" s="4" t="s">
        <v>153</v>
      </c>
      <c r="D4" s="4" t="str">
        <f>"🏨 "&amp;'🗄️ BD Source'!C15&amp;", São Paulo"</f>
        <v>🏨 Free Palace Hotel, São Paulo</v>
      </c>
      <c r="E4" s="4" t="s">
        <v>154</v>
      </c>
    </row>
    <row r="5" spans="1:5" x14ac:dyDescent="0.3">
      <c r="A5" s="69" t="s">
        <v>400</v>
      </c>
      <c r="B5" s="5" t="s">
        <v>162</v>
      </c>
      <c r="C5" s="4" t="s">
        <v>153</v>
      </c>
      <c r="D5" s="11" t="s">
        <v>401</v>
      </c>
      <c r="E5" s="4" t="s">
        <v>154</v>
      </c>
    </row>
    <row r="6" spans="1:5" x14ac:dyDescent="0.3">
      <c r="A6" s="101" t="s">
        <v>519</v>
      </c>
      <c r="B6" s="5" t="s">
        <v>161</v>
      </c>
      <c r="C6" s="4" t="s">
        <v>153</v>
      </c>
      <c r="D6" s="38" t="str">
        <f>"✈️ "&amp;'🗄️ BD Source'!C6&amp;" (dép "&amp;TEXT('🗄️ BD Source'!E6,"HH:mm")&amp;") "&amp;'🗄️ BD Source'!H6&amp;" "&amp;'🗄️ BD Source'!I6</f>
        <v>✈️ VCP (São Paulo) → BEL → Ourilândia do Norte (dép 21:45) Azul (via Trip.com) AD2954 + AD5108</v>
      </c>
      <c r="E6" s="4" t="s">
        <v>154</v>
      </c>
    </row>
    <row r="7" spans="1:5" x14ac:dyDescent="0.3">
      <c r="A7" s="101" t="s">
        <v>520</v>
      </c>
      <c r="B7" s="5" t="s">
        <v>186</v>
      </c>
      <c r="C7" s="4" t="s">
        <v>153</v>
      </c>
      <c r="D7" s="38" t="str">
        <f>"✈️ BEL→Ourilândia (arr "&amp;TEXT('🗄️ BD Source'!G6,"HH:mm")&amp;") "&amp;'🗄️ BD Source'!I6</f>
        <v>✈️ BEL→Ourilândia (arr 09:45) AD2954 + AD5108</v>
      </c>
      <c r="E7" s="39" t="s">
        <v>154</v>
      </c>
    </row>
    <row r="8" spans="1:5" x14ac:dyDescent="0.3">
      <c r="A8" s="69" t="s">
        <v>402</v>
      </c>
      <c r="B8" s="5" t="s">
        <v>162</v>
      </c>
      <c r="C8" s="38" t="s">
        <v>153</v>
      </c>
      <c r="D8" s="39" t="s">
        <v>403</v>
      </c>
      <c r="E8" s="39" t="s">
        <v>163</v>
      </c>
    </row>
    <row r="9" spans="1:5" x14ac:dyDescent="0.3">
      <c r="A9" s="5" t="s">
        <v>164</v>
      </c>
      <c r="B9" s="5" t="s">
        <v>167</v>
      </c>
      <c r="C9" s="4" t="str">
        <f>"🏨 "&amp;'🗄️ BD Source'!C16&amp;", Fortaleza"</f>
        <v>🏨 Maly Boutique Hotel, Fortaleza</v>
      </c>
      <c r="D9" s="4" t="s">
        <v>166</v>
      </c>
      <c r="E9" s="4" t="s">
        <v>166</v>
      </c>
    </row>
    <row r="10" spans="1:5" x14ac:dyDescent="0.3">
      <c r="A10" s="5" t="s">
        <v>169</v>
      </c>
      <c r="B10" s="5" t="s">
        <v>152</v>
      </c>
      <c r="C10" s="4" t="str">
        <f>"🏨 "&amp;'🗄️ BD Source'!C16&amp;", Fortaleza"</f>
        <v>🏨 Maly Boutique Hotel, Fortaleza</v>
      </c>
      <c r="D10" s="9" t="s">
        <v>170</v>
      </c>
      <c r="E10" s="9" t="s">
        <v>171</v>
      </c>
    </row>
    <row r="11" spans="1:5" x14ac:dyDescent="0.3">
      <c r="A11" s="36" t="s">
        <v>172</v>
      </c>
      <c r="B11" s="5" t="s">
        <v>156</v>
      </c>
      <c r="C11" s="4" t="str">
        <f>"🏨 Check-out "&amp;'🗄️ BD Source'!C16&amp;" → "&amp;'🗄️ BD Source'!C17&amp;" "&amp;TEXT('🗄️ BD Source'!F17,"HH:mm")</f>
        <v>🏨 Check-out Maly Boutique Hotel → Hotel Encontro do Sol 13:30</v>
      </c>
      <c r="D11" s="38" t="str">
        <f>"✈️ MAB→BEL "&amp;TEXT('🗄️ BD Source'!E10,"HH:mm")&amp;" / BEL→FOR "&amp;TEXT('🗄️ BD Source'!E11,"HH:mm")&amp;" (arr "&amp;TEXT('🗄️ BD Source'!G11,"HH:mm")&amp;")"</f>
        <v>✈️ MAB→BEL 14:50 / BEL→FOR 18:00 (arr 19:55)</v>
      </c>
      <c r="E11" s="38" t="str">
        <f>"✈️ MAB→BEL→FOR (même vols)"</f>
        <v>✈️ MAB→BEL→FOR (même vols)</v>
      </c>
    </row>
    <row r="12" spans="1:5" x14ac:dyDescent="0.3">
      <c r="A12" s="5" t="s">
        <v>172</v>
      </c>
      <c r="B12" s="5" t="s">
        <v>175</v>
      </c>
      <c r="C12" s="4" t="str">
        <f>"🏨 "&amp;'🗄️ BD Source'!C17&amp;", Fortaleza"</f>
        <v>🏨 Hotel Encontro do Sol, Fortaleza</v>
      </c>
      <c r="D12" s="4" t="str">
        <f>"🏨 "&amp;'🗄️ BD Source'!C17&amp;", Fortaleza"</f>
        <v>🏨 Hotel Encontro do Sol, Fortaleza</v>
      </c>
      <c r="E12" s="4" t="str">
        <f>"🏨 "&amp;'🗄️ BD Source'!C17</f>
        <v>🏨 Hotel Encontro do Sol</v>
      </c>
    </row>
    <row r="13" spans="1:5" x14ac:dyDescent="0.3">
      <c r="A13" s="5" t="s">
        <v>177</v>
      </c>
      <c r="B13" s="5" t="s">
        <v>158</v>
      </c>
      <c r="C13" s="4" t="str">
        <f>"🏨 "&amp;'🗄️ BD Source'!C17&amp;", Fortaleza"</f>
        <v>🏨 Hotel Encontro do Sol, Fortaleza</v>
      </c>
      <c r="D13" s="4" t="str">
        <f>"🏨 "&amp;'🗄️ BD Source'!C17&amp;", Fortaleza"</f>
        <v>🏨 Hotel Encontro do Sol, Fortaleza</v>
      </c>
      <c r="E13" s="4" t="str">
        <f>"🏨 "&amp;'🗄️ BD Source'!C17</f>
        <v>🏨 Hotel Encontro do Sol</v>
      </c>
    </row>
    <row r="14" spans="1:5" x14ac:dyDescent="0.3">
      <c r="A14" s="36" t="s">
        <v>178</v>
      </c>
      <c r="B14" s="5" t="s">
        <v>160</v>
      </c>
      <c r="C14" s="4" t="str">
        <f>"🚗 Fortaleza → Canoa Quebrada ("&amp;'🗄️ BD Source'!C18&amp;")"</f>
        <v>🚗 Fortaleza → Canoa Quebrada (ASAS DEL MAR - SUITES)</v>
      </c>
      <c r="D14" s="4" t="str">
        <f>"🚗 → "&amp;'🗄️ BD Source'!C18&amp;", Canoa Quebrada"</f>
        <v>🚗 → ASAS DEL MAR - SUITES, Canoa Quebrada</v>
      </c>
      <c r="E14" s="4" t="str">
        <f>"🚗 → "&amp;'🗄️ BD Source'!C18</f>
        <v>🚗 → ASAS DEL MAR - SUITES</v>
      </c>
    </row>
    <row r="15" spans="1:5" x14ac:dyDescent="0.3">
      <c r="A15" s="5" t="s">
        <v>182</v>
      </c>
      <c r="B15" s="5" t="s">
        <v>161</v>
      </c>
      <c r="C15" s="4" t="str">
        <f>"🏖️ "&amp;'🗄️ BD Source'!C18&amp;", Canoa Quebrada"</f>
        <v>🏖️ ASAS DEL MAR - SUITES, Canoa Quebrada</v>
      </c>
      <c r="D15" s="4" t="str">
        <f>"🏖️ "&amp;'🗄️ BD Source'!C18&amp;", Canoa Quebrada"</f>
        <v>🏖️ ASAS DEL MAR - SUITES, Canoa Quebrada</v>
      </c>
      <c r="E15" s="4" t="str">
        <f>"🏖️ "&amp;'🗄️ BD Source'!C18</f>
        <v>🏖️ ASAS DEL MAR - SUITES</v>
      </c>
    </row>
    <row r="16" spans="1:5" x14ac:dyDescent="0.3">
      <c r="A16" s="5" t="s">
        <v>185</v>
      </c>
      <c r="B16" s="5" t="s">
        <v>186</v>
      </c>
      <c r="C16" s="4" t="str">
        <f>"🏖️ "&amp;'🗄️ BD Source'!C18&amp;", Canoa Quebrada"</f>
        <v>🏖️ ASAS DEL MAR - SUITES, Canoa Quebrada</v>
      </c>
      <c r="D16" s="4" t="str">
        <f>"🏖️ "&amp;'🗄️ BD Source'!C18&amp;", Canoa Quebrada"</f>
        <v>🏖️ ASAS DEL MAR - SUITES, Canoa Quebrada</v>
      </c>
      <c r="E16" s="4" t="str">
        <f>"🏖️ "&amp;'🗄️ BD Source'!C18</f>
        <v>🏖️ ASAS DEL MAR - SUITES</v>
      </c>
    </row>
    <row r="17" spans="1:5" x14ac:dyDescent="0.3">
      <c r="A17" s="40" t="s">
        <v>187</v>
      </c>
      <c r="B17" s="5" t="s">
        <v>165</v>
      </c>
      <c r="C17" s="10" t="s">
        <v>188</v>
      </c>
      <c r="D17" s="10" t="s">
        <v>189</v>
      </c>
      <c r="E17" s="10" t="s">
        <v>189</v>
      </c>
    </row>
    <row r="18" spans="1:5" x14ac:dyDescent="0.3">
      <c r="A18" s="40" t="s">
        <v>190</v>
      </c>
      <c r="B18" s="5" t="s">
        <v>152</v>
      </c>
      <c r="C18" s="10" t="s">
        <v>189</v>
      </c>
      <c r="D18" s="10" t="s">
        <v>189</v>
      </c>
      <c r="E18" s="10" t="s">
        <v>189</v>
      </c>
    </row>
    <row r="19" spans="1:5" x14ac:dyDescent="0.3">
      <c r="A19" s="102" t="s">
        <v>521</v>
      </c>
      <c r="B19" s="5" t="s">
        <v>156</v>
      </c>
      <c r="C19" s="10" t="str">
        <f>"🏨 "&amp;'🗄️ BD Source'!C19&amp;", "&amp;'🗄️ BD Source'!D19</f>
        <v>🏨 Pousada Bangalô, Jericoacoara</v>
      </c>
      <c r="D19" s="10" t="str">
        <f>"🏨 "&amp;'🗄️ BD Source'!C19&amp;", "&amp;'🗄️ BD Source'!D19</f>
        <v>🏨 Pousada Bangalô, Jericoacoara</v>
      </c>
      <c r="E19" s="10" t="str">
        <f>"🏨 "&amp;'🗄️ BD Source'!C19</f>
        <v>🏨 Pousada Bangalô</v>
      </c>
    </row>
    <row r="20" spans="1:5" x14ac:dyDescent="0.3">
      <c r="A20" s="102" t="s">
        <v>522</v>
      </c>
      <c r="B20" s="5" t="s">
        <v>158</v>
      </c>
      <c r="C20" s="10" t="str">
        <f>"🏨 "&amp;'🗄️ BD Source'!C19&amp;", "&amp;'🗄️ BD Source'!D19</f>
        <v>🏨 Pousada Bangalô, Jericoacoara</v>
      </c>
      <c r="D20" s="10" t="str">
        <f>"🏨 "&amp;'🗄️ BD Source'!C19&amp;", "&amp;'🗄️ BD Source'!D19</f>
        <v>🏨 Pousada Bangalô, Jericoacoara</v>
      </c>
      <c r="E20" s="10" t="str">
        <f>"🏨 "&amp;'🗄️ BD Source'!C19</f>
        <v>🏨 Pousada Bangalô</v>
      </c>
    </row>
    <row r="21" spans="1:5" x14ac:dyDescent="0.3">
      <c r="A21" s="102" t="s">
        <v>523</v>
      </c>
      <c r="B21" s="5" t="s">
        <v>160</v>
      </c>
      <c r="C21" s="10" t="s">
        <v>653</v>
      </c>
      <c r="D21" s="10" t="s">
        <v>189</v>
      </c>
      <c r="E21" s="10" t="s">
        <v>189</v>
      </c>
    </row>
    <row r="22" spans="1:5" x14ac:dyDescent="0.3">
      <c r="A22" s="102" t="s">
        <v>524</v>
      </c>
      <c r="B22" s="5" t="s">
        <v>161</v>
      </c>
      <c r="C22" s="10" t="s">
        <v>189</v>
      </c>
      <c r="D22" s="10" t="s">
        <v>189</v>
      </c>
      <c r="E22" s="10" t="s">
        <v>189</v>
      </c>
    </row>
    <row r="23" spans="1:5" x14ac:dyDescent="0.3">
      <c r="A23" s="101" t="s">
        <v>525</v>
      </c>
      <c r="B23" s="5" t="s">
        <v>186</v>
      </c>
      <c r="C23" s="41" t="str">
        <f>"🚗 Retour Localiza "&amp;TEXT('🗄️ BD Source'!H23,"HH:mm")&amp;" → ✈️ FOR→LIS→GVA "&amp;TEXT('🗄️ BD Source'!E8,"HH:mm")</f>
        <v>🚗 Retour Localiza 18:00 → ✈️ FOR→LIS→GVA 22:50</v>
      </c>
      <c r="D23" s="41" t="str">
        <f>"✈️ FOR→LIS→GVA "&amp;TEXT('🗄️ BD Source'!E9,"HH:mm")</f>
        <v>✈️ FOR→LIS→GVA 22:50</v>
      </c>
      <c r="E23" s="88" t="s">
        <v>441</v>
      </c>
    </row>
    <row r="24" spans="1:5" x14ac:dyDescent="0.3">
      <c r="A24" s="101" t="s">
        <v>526</v>
      </c>
      <c r="B24" s="5" t="s">
        <v>165</v>
      </c>
      <c r="C24" s="17" t="str">
        <f>"📍 Arrivée GVA "&amp;TEXT('🗄️ BD Source'!G8,"HH:mm")&amp;" 🏠"</f>
        <v>📍 Arrivée GVA 17:30 🏠</v>
      </c>
      <c r="D24" s="17" t="str">
        <f>"📍 Arrivée GVA "&amp;TEXT('🗄️ BD Source'!G9,"HH:mm")&amp;" 🏠"</f>
        <v>📍 Arrivée GVA 17:30 🏠</v>
      </c>
      <c r="E24" s="88" t="s">
        <v>442</v>
      </c>
    </row>
    <row r="25" spans="1:5" x14ac:dyDescent="0.3">
      <c r="A25" s="4"/>
      <c r="B25" s="4"/>
      <c r="C25" s="4"/>
      <c r="D25" s="4"/>
      <c r="E25" s="4"/>
    </row>
    <row r="26" spans="1:5" x14ac:dyDescent="0.3">
      <c r="A26" s="4"/>
      <c r="B26" s="4"/>
      <c r="C26" s="4"/>
      <c r="D26" s="4"/>
      <c r="E26" s="4"/>
    </row>
    <row r="27" spans="1:5" x14ac:dyDescent="0.3">
      <c r="A27" s="4"/>
      <c r="B27" s="4"/>
      <c r="C27" s="4"/>
      <c r="D27" s="4"/>
      <c r="E27" s="4"/>
    </row>
    <row r="28" spans="1:5" x14ac:dyDescent="0.3">
      <c r="A28" s="4"/>
      <c r="B28" s="4"/>
      <c r="C28" s="4"/>
      <c r="D28" s="4"/>
      <c r="E28" s="4"/>
    </row>
    <row r="29" spans="1:5" x14ac:dyDescent="0.3">
      <c r="A29" s="4"/>
      <c r="B29" s="4"/>
      <c r="C29" s="4"/>
      <c r="D29" s="4"/>
      <c r="E29" s="4"/>
    </row>
    <row r="30" spans="1:5" x14ac:dyDescent="0.3">
      <c r="A30" s="4"/>
      <c r="B30" s="4"/>
      <c r="C30" s="4"/>
      <c r="D30" s="4"/>
      <c r="E30" s="4"/>
    </row>
    <row r="31" spans="1:5" x14ac:dyDescent="0.3">
      <c r="A31" s="4"/>
      <c r="B31" s="4"/>
      <c r="C31" s="4"/>
      <c r="D31" s="4"/>
      <c r="E31" s="4"/>
    </row>
    <row r="32" spans="1:5" x14ac:dyDescent="0.3">
      <c r="A32" s="4"/>
      <c r="B32" s="4"/>
      <c r="C32" s="4"/>
      <c r="D32" s="4"/>
      <c r="E32" s="4"/>
    </row>
    <row r="33" spans="1:5" x14ac:dyDescent="0.3">
      <c r="A33" s="4"/>
      <c r="B33" s="4"/>
      <c r="C33" s="4"/>
      <c r="D33" s="4"/>
      <c r="E33" s="4"/>
    </row>
    <row r="34" spans="1:5" x14ac:dyDescent="0.3">
      <c r="A34" s="4"/>
      <c r="B34" s="4"/>
      <c r="C34" s="4"/>
      <c r="D34" s="4"/>
      <c r="E34" s="4"/>
    </row>
    <row r="35" spans="1:5" x14ac:dyDescent="0.3">
      <c r="A35" s="4"/>
      <c r="B35" s="4"/>
      <c r="C35" s="4"/>
      <c r="D35" s="4"/>
      <c r="E35" s="4"/>
    </row>
    <row r="36" spans="1:5" x14ac:dyDescent="0.3">
      <c r="A36" s="4"/>
      <c r="B36" s="4"/>
      <c r="C36" s="4"/>
      <c r="D36" s="4"/>
      <c r="E36" s="4"/>
    </row>
    <row r="37" spans="1:5" x14ac:dyDescent="0.3">
      <c r="A37" s="4"/>
      <c r="B37" s="4"/>
      <c r="C37" s="4"/>
      <c r="D37" s="4"/>
      <c r="E37" s="4"/>
    </row>
    <row r="38" spans="1:5" x14ac:dyDescent="0.3">
      <c r="A38" s="4"/>
      <c r="B38" s="4"/>
      <c r="C38" s="4"/>
      <c r="D38" s="4"/>
      <c r="E38" s="4"/>
    </row>
    <row r="39" spans="1:5" x14ac:dyDescent="0.3">
      <c r="A39" s="4"/>
      <c r="B39" s="4"/>
      <c r="C39" s="4"/>
      <c r="D39" s="4"/>
      <c r="E39" s="4"/>
    </row>
    <row r="40" spans="1:5" x14ac:dyDescent="0.3">
      <c r="A40" s="4"/>
      <c r="B40" s="4"/>
      <c r="C40" s="4"/>
      <c r="D40" s="4"/>
      <c r="E40" s="4"/>
    </row>
    <row r="41" spans="1:5" x14ac:dyDescent="0.3">
      <c r="A41" s="4"/>
      <c r="B41" s="4"/>
      <c r="C41" s="4"/>
      <c r="D41" s="4"/>
      <c r="E41" s="4"/>
    </row>
    <row r="42" spans="1:5" x14ac:dyDescent="0.3">
      <c r="A42" s="4"/>
      <c r="B42" s="4"/>
      <c r="C42" s="4"/>
      <c r="D42" s="4"/>
      <c r="E42" s="4"/>
    </row>
    <row r="43" spans="1:5" x14ac:dyDescent="0.3">
      <c r="A43" s="4"/>
      <c r="B43" s="4"/>
      <c r="C43" s="4"/>
      <c r="D43" s="4"/>
      <c r="E43"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089B-D5F8-41DA-AF5C-61F88C7DA686}">
  <dimension ref="A1:O28"/>
  <sheetViews>
    <sheetView topLeftCell="A9" zoomScale="130" zoomScaleNormal="130" workbookViewId="0">
      <selection activeCell="D27" sqref="D27"/>
    </sheetView>
  </sheetViews>
  <sheetFormatPr baseColWidth="10" defaultRowHeight="14.4" x14ac:dyDescent="0.3"/>
  <cols>
    <col min="1" max="1" width="51.88671875" customWidth="1"/>
    <col min="2" max="3" width="11.5546875" style="14"/>
    <col min="10" max="10" width="11.5546875" style="14"/>
    <col min="11" max="11" width="11.5546875" style="113"/>
    <col min="14" max="14" width="11.5546875" style="14"/>
    <col min="15" max="15" width="11.5546875" style="113"/>
  </cols>
  <sheetData>
    <row r="1" spans="1:15" ht="18" x14ac:dyDescent="0.35">
      <c r="A1" s="23" t="s">
        <v>193</v>
      </c>
    </row>
    <row r="3" spans="1:15" x14ac:dyDescent="0.3">
      <c r="A3" s="18" t="s">
        <v>194</v>
      </c>
      <c r="E3" s="77" t="s">
        <v>194</v>
      </c>
      <c r="F3" s="78" t="s">
        <v>196</v>
      </c>
      <c r="G3" s="78" t="s">
        <v>416</v>
      </c>
      <c r="I3" s="91" t="s">
        <v>195</v>
      </c>
      <c r="J3" s="116" t="s">
        <v>196</v>
      </c>
      <c r="K3" s="114" t="s">
        <v>108</v>
      </c>
      <c r="M3" s="92" t="s">
        <v>203</v>
      </c>
      <c r="N3" s="117" t="s">
        <v>196</v>
      </c>
      <c r="O3" s="115" t="s">
        <v>108</v>
      </c>
    </row>
    <row r="4" spans="1:15" x14ac:dyDescent="0.3">
      <c r="A4" s="42" t="s">
        <v>195</v>
      </c>
      <c r="B4" s="118" t="s">
        <v>196</v>
      </c>
      <c r="C4" s="118" t="s">
        <v>197</v>
      </c>
      <c r="E4" s="79" t="s">
        <v>195</v>
      </c>
      <c r="F4" s="46"/>
      <c r="G4" s="46"/>
      <c r="I4" s="84" t="s">
        <v>464</v>
      </c>
      <c r="J4" s="105">
        <f>'🗄️ BD Source'!D5</f>
        <v>46139</v>
      </c>
      <c r="K4" s="85">
        <f>'🗄️ BD Source'!F5-'🗄️ BD Source'!D5+1</f>
        <v>2</v>
      </c>
      <c r="M4" s="84" t="s">
        <v>466</v>
      </c>
      <c r="N4" s="105">
        <f>'🗄️ BD Source'!D7</f>
        <v>46165</v>
      </c>
      <c r="O4" s="85">
        <v>1</v>
      </c>
    </row>
    <row r="5" spans="1:15" x14ac:dyDescent="0.3">
      <c r="A5" s="4" t="s">
        <v>198</v>
      </c>
      <c r="B5" s="16" t="str">
        <f>TEXT('🗄️ BD Source'!D5,"jj/MM")</f>
        <v>27/04</v>
      </c>
      <c r="C5" s="16" t="str">
        <f>TEXT('🗄️ BD Source'!F5,"jj/MM")</f>
        <v>28/04</v>
      </c>
      <c r="E5" s="64" t="s">
        <v>425</v>
      </c>
      <c r="F5" s="73">
        <f>DATE(2026,4,27)</f>
        <v>46139</v>
      </c>
      <c r="G5" s="65">
        <v>2</v>
      </c>
      <c r="I5" s="84" t="s">
        <v>465</v>
      </c>
      <c r="J5" s="105">
        <f>'🗄️ BD Source'!E15</f>
        <v>46139</v>
      </c>
      <c r="K5" s="85">
        <f>'🗄️ BD Source'!I15</f>
        <v>3</v>
      </c>
      <c r="M5" s="84" t="s">
        <v>430</v>
      </c>
      <c r="N5" s="105">
        <f>'🗄️ BD Source'!E23</f>
        <v>46165</v>
      </c>
      <c r="O5" s="85">
        <f>'🗄️ BD Source'!I23</f>
        <v>13</v>
      </c>
    </row>
    <row r="6" spans="1:15" x14ac:dyDescent="0.3">
      <c r="A6" s="4" t="s">
        <v>159</v>
      </c>
      <c r="B6" s="16" t="str">
        <f>TEXT('🗄️ BD Source'!E15,"jj/MM")</f>
        <v>27/04</v>
      </c>
      <c r="C6" s="16" t="str">
        <f>TEXT('🗄️ BD Source'!G15,"jj/MM")</f>
        <v>30/04</v>
      </c>
      <c r="E6" s="64" t="s">
        <v>426</v>
      </c>
      <c r="F6" s="73">
        <f>DATE(2026,4,27)</f>
        <v>46139</v>
      </c>
      <c r="G6" s="65">
        <v>3</v>
      </c>
      <c r="I6" s="84" t="s">
        <v>449</v>
      </c>
      <c r="J6" s="105">
        <f>'🗄️ BD Source'!G15</f>
        <v>46142</v>
      </c>
      <c r="K6" s="85">
        <f>INT('🗄️ BD Source'!D6)-INT('🗄️ BD Source'!G15)</f>
        <v>7</v>
      </c>
      <c r="M6" s="84" t="s">
        <v>431</v>
      </c>
      <c r="N6" s="105">
        <f>'🗄️ BD Source'!E16</f>
        <v>46165</v>
      </c>
      <c r="O6" s="85">
        <f>'🗄️ BD Source'!I16</f>
        <v>2</v>
      </c>
    </row>
    <row r="7" spans="1:15" x14ac:dyDescent="0.3">
      <c r="A7" s="39" t="s">
        <v>419</v>
      </c>
      <c r="B7" s="119" t="str">
        <f>TEXT('🗄️ BD Source'!G15,"jj/MM")</f>
        <v>30/04</v>
      </c>
      <c r="C7" s="119" t="str">
        <f>TEXT('🗄️ BD Source'!D6,"jj/MM")</f>
        <v>07/05</v>
      </c>
      <c r="E7" s="80" t="s">
        <v>419</v>
      </c>
      <c r="F7" s="73">
        <f>DATE(2026,4,30)</f>
        <v>46142</v>
      </c>
      <c r="G7" s="65">
        <v>7</v>
      </c>
      <c r="I7" s="84" t="s">
        <v>450</v>
      </c>
      <c r="J7" s="105">
        <f>'🗄️ BD Source'!D6</f>
        <v>46149</v>
      </c>
      <c r="K7" s="85">
        <f>'🗄️ BD Source'!F6-'🗄️ BD Source'!D6+1</f>
        <v>2</v>
      </c>
      <c r="M7" s="84" t="s">
        <v>434</v>
      </c>
      <c r="N7" s="105">
        <f>'🗄️ BD Source'!E17</f>
        <v>46167</v>
      </c>
      <c r="O7" s="85">
        <f>'🗄️ BD Source'!I17</f>
        <v>2</v>
      </c>
    </row>
    <row r="8" spans="1:15" x14ac:dyDescent="0.3">
      <c r="A8" s="38" t="s">
        <v>420</v>
      </c>
      <c r="B8" s="16" t="str">
        <f>TEXT('🗄️ BD Source'!D6,"jj/MM")</f>
        <v>07/05</v>
      </c>
      <c r="C8" s="16" t="str">
        <f>TEXT('🗄️ BD Source'!F6,"jj/MM")</f>
        <v>08/05</v>
      </c>
      <c r="E8" s="64" t="s">
        <v>427</v>
      </c>
      <c r="F8" s="73">
        <f>DATE(2026,5,7)</f>
        <v>46149</v>
      </c>
      <c r="G8" s="65">
        <v>2</v>
      </c>
      <c r="I8" s="84" t="s">
        <v>468</v>
      </c>
      <c r="J8" s="105">
        <f>'🗄️ BD Source'!F6</f>
        <v>46150</v>
      </c>
      <c r="K8" s="85">
        <f>'🗄️ BD Source'!D10-'🗄️ BD Source'!F6</f>
        <v>17</v>
      </c>
      <c r="M8" s="84" t="s">
        <v>467</v>
      </c>
      <c r="N8" s="105">
        <f>'🗄️ BD Source'!E18</f>
        <v>46169</v>
      </c>
      <c r="O8" s="85">
        <f>'🗄️ BD Source'!I18</f>
        <v>3</v>
      </c>
    </row>
    <row r="9" spans="1:15" x14ac:dyDescent="0.3">
      <c r="A9" s="39" t="s">
        <v>199</v>
      </c>
      <c r="B9" s="119" t="str">
        <f>TEXT('🗄️ BD Source'!F6,"jj/MM")</f>
        <v>08/05</v>
      </c>
      <c r="C9" s="119" t="s">
        <v>200</v>
      </c>
      <c r="E9" s="80" t="s">
        <v>428</v>
      </c>
      <c r="F9" s="73">
        <f>DATE(2026,5,8)</f>
        <v>46150</v>
      </c>
      <c r="G9" s="65">
        <v>17</v>
      </c>
      <c r="I9" s="84" t="s">
        <v>386</v>
      </c>
      <c r="J9" s="105">
        <f>'🗄️ BD Source'!D10</f>
        <v>46167</v>
      </c>
      <c r="K9" s="85">
        <v>1</v>
      </c>
      <c r="M9" s="86" t="s">
        <v>469</v>
      </c>
      <c r="N9" s="105">
        <f>'🗄️ BD Source'!G18</f>
        <v>46172</v>
      </c>
      <c r="O9" s="85">
        <f>INT('🗄️ BD Source'!D8)-INT('🗄️ BD Source'!G18)</f>
        <v>6</v>
      </c>
    </row>
    <row r="10" spans="1:15" x14ac:dyDescent="0.3">
      <c r="A10" s="4" t="s">
        <v>201</v>
      </c>
      <c r="B10" s="16" t="str">
        <f>TEXT('🗄️ BD Source'!D10,"jj/MM")</f>
        <v>25/05</v>
      </c>
      <c r="C10" s="16" t="str">
        <f>TEXT('🗄️ BD Source'!F11,"jj/MM")</f>
        <v>25/05</v>
      </c>
      <c r="E10" s="64"/>
      <c r="I10" s="84" t="s">
        <v>434</v>
      </c>
      <c r="J10" s="105">
        <f>'🗄️ BD Source'!E17</f>
        <v>46167</v>
      </c>
      <c r="K10" s="85">
        <f>'🗄️ BD Source'!I17</f>
        <v>2</v>
      </c>
      <c r="M10" s="84" t="s">
        <v>471</v>
      </c>
      <c r="N10" s="105">
        <f>'🗄️ BD Source'!D8</f>
        <v>46178</v>
      </c>
      <c r="O10" s="85">
        <v>1</v>
      </c>
    </row>
    <row r="11" spans="1:15" x14ac:dyDescent="0.3">
      <c r="A11" s="4" t="s">
        <v>176</v>
      </c>
      <c r="B11" s="16" t="str">
        <f>TEXT('🗄️ BD Source'!E17,"jj/MM")</f>
        <v>25/05</v>
      </c>
      <c r="C11" s="16" t="str">
        <f>TEXT('🗄️ BD Source'!G17,"jj/MM")</f>
        <v>27/05</v>
      </c>
      <c r="E11" s="81" t="s">
        <v>203</v>
      </c>
      <c r="F11" s="46"/>
      <c r="G11" s="46"/>
      <c r="I11" s="84" t="s">
        <v>467</v>
      </c>
      <c r="J11" s="105">
        <f>'🗄️ BD Source'!E18</f>
        <v>46169</v>
      </c>
      <c r="K11" s="85">
        <f>'🗄️ BD Source'!I18</f>
        <v>3</v>
      </c>
      <c r="M11" s="84" t="s">
        <v>470</v>
      </c>
      <c r="N11" s="105">
        <f>'🗄️ BD Source'!D8</f>
        <v>46178</v>
      </c>
      <c r="O11" s="85">
        <f>'🗄️ BD Source'!F8-'🗄️ BD Source'!D8+1</f>
        <v>2</v>
      </c>
    </row>
    <row r="12" spans="1:15" x14ac:dyDescent="0.3">
      <c r="A12" s="4" t="s">
        <v>183</v>
      </c>
      <c r="B12" s="16" t="str">
        <f>TEXT('🗄️ BD Source'!E18,"jj/MM")</f>
        <v>27/05</v>
      </c>
      <c r="C12" s="16" t="str">
        <f>TEXT('🗄️ BD Source'!G18,"jj/MM")</f>
        <v>30/05</v>
      </c>
      <c r="E12" s="64" t="s">
        <v>429</v>
      </c>
      <c r="F12" s="73">
        <f>DATE(2026,5,23)</f>
        <v>46165</v>
      </c>
      <c r="G12" s="65">
        <v>1</v>
      </c>
      <c r="I12" s="86" t="s">
        <v>469</v>
      </c>
      <c r="J12" s="105">
        <f>'🗄️ BD Source'!G18</f>
        <v>46172</v>
      </c>
      <c r="K12" s="85">
        <f>INT('🗄️ BD Source'!D8)-INT('🗄️ BD Source'!G18)</f>
        <v>6</v>
      </c>
      <c r="M12" s="84"/>
    </row>
    <row r="13" spans="1:15" x14ac:dyDescent="0.3">
      <c r="A13" s="44" t="s">
        <v>189</v>
      </c>
      <c r="B13" s="120" t="str">
        <f>TEXT('🗄️ BD Source'!G18,"jj/MM")</f>
        <v>30/05</v>
      </c>
      <c r="C13" s="120" t="str">
        <f>TEXT('🗄️ BD Source'!D8,"jj/MM")</f>
        <v>05/06</v>
      </c>
      <c r="E13" s="64" t="s">
        <v>430</v>
      </c>
      <c r="F13" s="73">
        <f>DATE(2026,5,23)</f>
        <v>46165</v>
      </c>
      <c r="G13" s="65">
        <v>13</v>
      </c>
      <c r="I13" s="84" t="s">
        <v>470</v>
      </c>
      <c r="J13" s="105">
        <f>'🗄️ BD Source'!D8</f>
        <v>46178</v>
      </c>
      <c r="K13" s="85">
        <f>'🗄️ BD Source'!F8-'🗄️ BD Source'!D8+1</f>
        <v>2</v>
      </c>
    </row>
    <row r="14" spans="1:15" x14ac:dyDescent="0.3">
      <c r="A14" s="25" t="s">
        <v>202</v>
      </c>
      <c r="B14" s="118" t="str">
        <f>TEXT('🗄️ BD Source'!D9,"jj/MM")</f>
        <v>05/06</v>
      </c>
      <c r="C14" s="118" t="str">
        <f>TEXT('🗄️ BD Source'!F9,"jj/MM")</f>
        <v>06/06</v>
      </c>
      <c r="E14" s="64" t="s">
        <v>431</v>
      </c>
      <c r="F14" s="73">
        <f>DATE(2026,5,23)</f>
        <v>46165</v>
      </c>
      <c r="G14" s="65">
        <v>2</v>
      </c>
      <c r="I14" s="87" t="s">
        <v>455</v>
      </c>
      <c r="J14" s="105">
        <f>'🗄️ BD Source'!F8</f>
        <v>46179</v>
      </c>
      <c r="K14" s="85">
        <v>3</v>
      </c>
    </row>
    <row r="15" spans="1:15" x14ac:dyDescent="0.3">
      <c r="A15" s="4" t="s">
        <v>204</v>
      </c>
      <c r="B15" s="16" t="str">
        <f>TEXT('🗄️ BD Source'!D7,"jj/MM")</f>
        <v>23/05</v>
      </c>
      <c r="C15" s="16" t="str">
        <f>TEXT('🗄️ BD Source'!F7,"jj/MM")</f>
        <v>23/05</v>
      </c>
      <c r="E15" s="64"/>
    </row>
    <row r="16" spans="1:15" x14ac:dyDescent="0.3">
      <c r="A16" s="4" t="s">
        <v>205</v>
      </c>
      <c r="B16" s="16" t="str">
        <f>TEXT('🗄️ BD Source'!E23,"jj/MM")</f>
        <v>23/05</v>
      </c>
      <c r="C16" s="16" t="str">
        <f>TEXT('🗄️ BD Source'!G23,"jj/MM")</f>
        <v>05/06</v>
      </c>
      <c r="E16" s="79" t="s">
        <v>432</v>
      </c>
      <c r="F16" s="46"/>
      <c r="G16" s="46"/>
    </row>
    <row r="17" spans="1:7" x14ac:dyDescent="0.3">
      <c r="A17" s="4" t="s">
        <v>168</v>
      </c>
      <c r="B17" s="16" t="str">
        <f>TEXT('🗄️ BD Source'!E16,"jj/MM")</f>
        <v>23/05</v>
      </c>
      <c r="C17" s="16" t="str">
        <f>TEXT('🗄️ BD Source'!G16,"jj/MM")</f>
        <v>25/05</v>
      </c>
      <c r="E17" s="64" t="s">
        <v>433</v>
      </c>
      <c r="F17" s="73">
        <f>DATE(2026,5,25)</f>
        <v>46167</v>
      </c>
      <c r="G17" s="65">
        <v>1</v>
      </c>
    </row>
    <row r="18" spans="1:7" x14ac:dyDescent="0.3">
      <c r="A18" s="4" t="s">
        <v>176</v>
      </c>
      <c r="B18" s="16" t="str">
        <f>TEXT('🗄️ BD Source'!E17,"jj/MM")</f>
        <v>25/05</v>
      </c>
      <c r="C18" s="16" t="str">
        <f>TEXT('🗄️ BD Source'!G17,"jj/MM")</f>
        <v>27/05</v>
      </c>
      <c r="E18" s="64" t="s">
        <v>434</v>
      </c>
      <c r="F18" s="73">
        <f>DATE(2026,5,25)</f>
        <v>46167</v>
      </c>
      <c r="G18" s="65">
        <v>2</v>
      </c>
    </row>
    <row r="19" spans="1:7" x14ac:dyDescent="0.3">
      <c r="A19" s="4" t="s">
        <v>183</v>
      </c>
      <c r="B19" s="16" t="str">
        <f>TEXT('🗄️ BD Source'!E18,"jj/MM")</f>
        <v>27/05</v>
      </c>
      <c r="C19" s="16" t="str">
        <f>TEXT('🗄️ BD Source'!G18,"jj/MM")</f>
        <v>30/05</v>
      </c>
      <c r="E19" s="64" t="s">
        <v>435</v>
      </c>
      <c r="F19" s="73">
        <f>DATE(2026,5,27)</f>
        <v>46169</v>
      </c>
      <c r="G19" s="65">
        <v>3</v>
      </c>
    </row>
    <row r="20" spans="1:7" x14ac:dyDescent="0.3">
      <c r="A20" s="44" t="s">
        <v>189</v>
      </c>
      <c r="B20" s="120" t="str">
        <f>TEXT('🗄️ BD Source'!G18,"jj/MM")</f>
        <v>30/05</v>
      </c>
      <c r="C20" s="120" t="str">
        <f>TEXT('🗄️ BD Source'!D8,"jj/MM")</f>
        <v>05/06</v>
      </c>
      <c r="E20" s="66" t="s">
        <v>436</v>
      </c>
      <c r="F20" s="74">
        <f>DATE(2026,5,30)</f>
        <v>46172</v>
      </c>
      <c r="G20" s="67">
        <v>6</v>
      </c>
    </row>
    <row r="21" spans="1:7" x14ac:dyDescent="0.3">
      <c r="A21" s="4" t="s">
        <v>206</v>
      </c>
      <c r="B21" s="16" t="str">
        <f>TEXT('🗄️ BD Source'!D8,"jj/MM")</f>
        <v>05/06</v>
      </c>
      <c r="C21" s="16" t="str">
        <f>TEXT('🗄️ BD Source'!F8,"jj/MM")</f>
        <v>06/06</v>
      </c>
      <c r="E21" s="64" t="s">
        <v>437</v>
      </c>
      <c r="F21" s="73">
        <f>DATE(2026,6,5)</f>
        <v>46178</v>
      </c>
      <c r="G21" s="65">
        <v>2</v>
      </c>
    </row>
    <row r="22" spans="1:7" x14ac:dyDescent="0.3">
      <c r="A22" s="4"/>
      <c r="E22" s="80" t="s">
        <v>438</v>
      </c>
      <c r="F22" s="83">
        <f>DATE(2026,6,6)</f>
        <v>46179</v>
      </c>
      <c r="G22" s="82">
        <v>3</v>
      </c>
    </row>
    <row r="23" spans="1:7" x14ac:dyDescent="0.3">
      <c r="A23" s="42" t="s">
        <v>207</v>
      </c>
      <c r="B23" s="118"/>
      <c r="C23" s="118"/>
    </row>
    <row r="24" spans="1:7" x14ac:dyDescent="0.3">
      <c r="A24" s="4" t="s">
        <v>208</v>
      </c>
      <c r="B24" s="16" t="str">
        <f>TEXT('🗄️ BD Source'!D10,"jj/MM")</f>
        <v>25/05</v>
      </c>
      <c r="C24" s="16" t="str">
        <f>TEXT('🗄️ BD Source'!F11,"jj/MM")</f>
        <v>25/05</v>
      </c>
    </row>
    <row r="25" spans="1:7" x14ac:dyDescent="0.3">
      <c r="A25" s="4" t="s">
        <v>176</v>
      </c>
      <c r="B25" s="16" t="str">
        <f>TEXT('🗄️ BD Source'!E17,"jj/MM")</f>
        <v>25/05</v>
      </c>
      <c r="C25" s="16" t="str">
        <f>TEXT('🗄️ BD Source'!G17,"jj/MM")</f>
        <v>27/05</v>
      </c>
    </row>
    <row r="26" spans="1:7" x14ac:dyDescent="0.3">
      <c r="A26" s="4" t="s">
        <v>183</v>
      </c>
      <c r="B26" s="16" t="str">
        <f>TEXT('🗄️ BD Source'!E18,"jj/MM")</f>
        <v>27/05</v>
      </c>
      <c r="C26" s="16" t="str">
        <f>TEXT('🗄️ BD Source'!G18,"jj/MM")</f>
        <v>30/05</v>
      </c>
    </row>
    <row r="27" spans="1:7" x14ac:dyDescent="0.3">
      <c r="A27" s="44" t="s">
        <v>189</v>
      </c>
      <c r="B27" s="120" t="str">
        <f>TEXT('🗄️ BD Source'!G18,"jj/MM")</f>
        <v>30/05</v>
      </c>
      <c r="C27" s="120" t="str">
        <f>TEXT('🗄️ BD Source'!D8,"jj/MM")</f>
        <v>05/06</v>
      </c>
    </row>
    <row r="28" spans="1:7" x14ac:dyDescent="0.3">
      <c r="A28" s="89" t="s">
        <v>441</v>
      </c>
      <c r="B28" s="119" t="s">
        <v>443</v>
      </c>
      <c r="C28" s="119" t="s">
        <v>444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13A4C-7D50-4A39-AD20-3EC58BF05FC9}">
  <dimension ref="A1:L28"/>
  <sheetViews>
    <sheetView zoomScale="130" workbookViewId="0">
      <selection activeCell="J11" sqref="J11"/>
    </sheetView>
  </sheetViews>
  <sheetFormatPr baseColWidth="10" defaultRowHeight="14.4" x14ac:dyDescent="0.3"/>
  <cols>
    <col min="1" max="1" width="51.88671875" customWidth="1"/>
    <col min="10" max="10" width="11.5546875" style="14"/>
    <col min="11" max="12" width="11.5546875" style="113"/>
  </cols>
  <sheetData>
    <row r="1" spans="1:12" ht="18" x14ac:dyDescent="0.35">
      <c r="A1" s="23" t="s">
        <v>193</v>
      </c>
    </row>
    <row r="3" spans="1:12" x14ac:dyDescent="0.3">
      <c r="A3" s="18" t="s">
        <v>194</v>
      </c>
      <c r="E3" s="77" t="s">
        <v>194</v>
      </c>
      <c r="F3" s="78" t="s">
        <v>196</v>
      </c>
      <c r="G3" s="78" t="s">
        <v>416</v>
      </c>
      <c r="I3" s="90" t="s">
        <v>194</v>
      </c>
      <c r="J3" s="121" t="s">
        <v>196</v>
      </c>
      <c r="K3" s="114" t="s">
        <v>2</v>
      </c>
      <c r="L3" s="115" t="s">
        <v>1</v>
      </c>
    </row>
    <row r="4" spans="1:12" x14ac:dyDescent="0.3">
      <c r="A4" s="42" t="s">
        <v>195</v>
      </c>
      <c r="B4" s="43" t="s">
        <v>196</v>
      </c>
      <c r="C4" s="43" t="s">
        <v>197</v>
      </c>
      <c r="E4" s="79" t="s">
        <v>195</v>
      </c>
      <c r="F4" s="46"/>
      <c r="G4" s="46"/>
      <c r="I4" s="84" t="s">
        <v>464</v>
      </c>
      <c r="J4" s="105">
        <f>'🗄️ BD Source'!D5</f>
        <v>46139</v>
      </c>
      <c r="K4" s="85">
        <f>'🗄️ BD Source'!F5-'🗄️ BD Source'!D5+1</f>
        <v>2</v>
      </c>
      <c r="L4" s="85">
        <v>0</v>
      </c>
    </row>
    <row r="5" spans="1:12" x14ac:dyDescent="0.3">
      <c r="A5" s="4" t="s">
        <v>198</v>
      </c>
      <c r="B5" t="str">
        <f>TEXT('🗄️ BD Source'!D5,"jj/MM")</f>
        <v>27/04</v>
      </c>
      <c r="C5" s="106" t="str">
        <f>TEXT('🗄️ BD Source'!F5,"jj/MM")</f>
        <v>28/04</v>
      </c>
      <c r="E5" s="64" t="s">
        <v>425</v>
      </c>
      <c r="F5" s="73">
        <f>'🗄️ BD Source'!D5</f>
        <v>46139</v>
      </c>
      <c r="G5" s="65">
        <f>'🗄️ BD Source'!F5-'🗄️ BD Source'!D5+1</f>
        <v>2</v>
      </c>
      <c r="I5" s="84" t="s">
        <v>465</v>
      </c>
      <c r="J5" s="105">
        <f>'🗄️ BD Source'!E15</f>
        <v>46139</v>
      </c>
      <c r="K5" s="85">
        <f>'🗄️ BD Source'!I15</f>
        <v>3</v>
      </c>
      <c r="L5" s="85">
        <v>0</v>
      </c>
    </row>
    <row r="6" spans="1:12" x14ac:dyDescent="0.3">
      <c r="A6" s="4" t="s">
        <v>159</v>
      </c>
      <c r="B6" s="106" t="str">
        <f>TEXT('🗄️ BD Source'!E15,"jj/MM")</f>
        <v>27/04</v>
      </c>
      <c r="C6" s="106" t="str">
        <f>TEXT('🗄️ BD Source'!G15,"jj/MM")</f>
        <v>30/04</v>
      </c>
      <c r="E6" s="64" t="s">
        <v>426</v>
      </c>
      <c r="F6" s="73">
        <f>'🗄️ BD Source'!E15</f>
        <v>46139</v>
      </c>
      <c r="G6" s="65">
        <f>'🗄️ BD Source'!I15</f>
        <v>3</v>
      </c>
      <c r="I6" s="84" t="s">
        <v>449</v>
      </c>
      <c r="J6" s="105">
        <f>'🗄️ BD Source'!G15</f>
        <v>46142</v>
      </c>
      <c r="K6" s="85">
        <f>INT('🗄️ BD Source'!D6)-INT('🗄️ BD Source'!G15)</f>
        <v>7</v>
      </c>
      <c r="L6" s="85">
        <v>0</v>
      </c>
    </row>
    <row r="7" spans="1:12" x14ac:dyDescent="0.3">
      <c r="A7" s="39" t="s">
        <v>419</v>
      </c>
      <c r="B7" s="107" t="str">
        <f>TEXT('🗄️ BD Source'!G15,"jj/MM")</f>
        <v>30/04</v>
      </c>
      <c r="C7" s="107" t="str">
        <f>TEXT('🗄️ BD Source'!D6,"jj/MM")</f>
        <v>07/05</v>
      </c>
      <c r="E7" s="80" t="s">
        <v>419</v>
      </c>
      <c r="F7" s="73">
        <f>'🗄️ BD Source'!G15</f>
        <v>46142</v>
      </c>
      <c r="G7" s="75">
        <f>INT('🗄️ BD Source'!D6)-INT('🗄️ BD Source'!G15)</f>
        <v>7</v>
      </c>
      <c r="I7" s="84" t="s">
        <v>450</v>
      </c>
      <c r="J7" s="105">
        <f>'🗄️ BD Source'!D6</f>
        <v>46149</v>
      </c>
      <c r="K7" s="85">
        <f>'🗄️ BD Source'!F6-'🗄️ BD Source'!D6+1</f>
        <v>2</v>
      </c>
      <c r="L7" s="85">
        <v>0</v>
      </c>
    </row>
    <row r="8" spans="1:12" x14ac:dyDescent="0.3">
      <c r="A8" s="38" t="s">
        <v>420</v>
      </c>
      <c r="B8" s="106" t="str">
        <f>TEXT('🗄️ BD Source'!D6,"jj/MM")</f>
        <v>07/05</v>
      </c>
      <c r="C8" s="106" t="str">
        <f>TEXT('🗄️ BD Source'!F6,"jj/MM")</f>
        <v>08/05</v>
      </c>
      <c r="E8" s="64" t="s">
        <v>427</v>
      </c>
      <c r="F8" s="73">
        <f>'🗄️ BD Source'!D6</f>
        <v>46149</v>
      </c>
      <c r="G8" s="65">
        <f>'🗄️ BD Source'!F6-'🗄️ BD Source'!D6+1</f>
        <v>2</v>
      </c>
      <c r="I8" s="84" t="s">
        <v>428</v>
      </c>
      <c r="J8" s="105">
        <f>'🗄️ BD Source'!F6</f>
        <v>46150</v>
      </c>
      <c r="K8" s="85">
        <f>'🗄️ BD Source'!D10-'🗄️ BD Source'!F6</f>
        <v>17</v>
      </c>
      <c r="L8" s="85">
        <v>0</v>
      </c>
    </row>
    <row r="9" spans="1:12" x14ac:dyDescent="0.3">
      <c r="A9" s="39" t="s">
        <v>199</v>
      </c>
      <c r="B9" s="107" t="str">
        <f>TEXT('🗄️ BD Source'!F6,"jj/MM")</f>
        <v>08/05</v>
      </c>
      <c r="C9" s="107" t="s">
        <v>200</v>
      </c>
      <c r="E9" s="80" t="s">
        <v>428</v>
      </c>
      <c r="F9" s="73">
        <f>'🗄️ BD Source'!F6</f>
        <v>46150</v>
      </c>
      <c r="G9" s="65">
        <f>'🗄️ BD Source'!D10-'🗄️ BD Source'!F6</f>
        <v>17</v>
      </c>
      <c r="I9" s="84" t="s">
        <v>466</v>
      </c>
      <c r="J9" s="105">
        <f>'🗄️ BD Source'!D7</f>
        <v>46165</v>
      </c>
      <c r="K9" s="85">
        <v>0</v>
      </c>
      <c r="L9" s="85">
        <v>1</v>
      </c>
    </row>
    <row r="10" spans="1:12" x14ac:dyDescent="0.3">
      <c r="A10" s="4" t="s">
        <v>201</v>
      </c>
      <c r="B10" s="106" t="str">
        <f>TEXT('🗄️ BD Source'!D10,"jj/MM")</f>
        <v>25/05</v>
      </c>
      <c r="C10" s="106" t="str">
        <f>TEXT('🗄️ BD Source'!F11,"jj/MM")</f>
        <v>25/05</v>
      </c>
      <c r="E10" s="64"/>
      <c r="I10" s="84" t="s">
        <v>430</v>
      </c>
      <c r="J10" s="105">
        <f>'🗄️ BD Source'!E23</f>
        <v>46165</v>
      </c>
      <c r="K10" s="85">
        <v>0</v>
      </c>
      <c r="L10" s="85">
        <f>'🗄️ BD Source'!I23</f>
        <v>13</v>
      </c>
    </row>
    <row r="11" spans="1:12" x14ac:dyDescent="0.3">
      <c r="A11" s="4" t="s">
        <v>176</v>
      </c>
      <c r="B11" s="106" t="str">
        <f>TEXT('🗄️ BD Source'!E17,"jj/MM")</f>
        <v>25/05</v>
      </c>
      <c r="C11" s="106" t="str">
        <f>TEXT('🗄️ BD Source'!G17,"jj/MM")</f>
        <v>27/05</v>
      </c>
      <c r="E11" s="81" t="s">
        <v>203</v>
      </c>
      <c r="F11" s="46"/>
      <c r="G11" s="46"/>
      <c r="I11" s="84" t="s">
        <v>431</v>
      </c>
      <c r="J11" s="105">
        <f>'🗄️ BD Source'!E16</f>
        <v>46165</v>
      </c>
      <c r="K11" s="85">
        <v>0</v>
      </c>
      <c r="L11" s="85">
        <f>'🗄️ BD Source'!I16</f>
        <v>2</v>
      </c>
    </row>
    <row r="12" spans="1:12" x14ac:dyDescent="0.3">
      <c r="A12" s="4" t="s">
        <v>183</v>
      </c>
      <c r="B12" s="106" t="str">
        <f>TEXT('🗄️ BD Source'!E18,"jj/MM")</f>
        <v>27/05</v>
      </c>
      <c r="C12" s="106" t="str">
        <f>TEXT('🗄️ BD Source'!G18,"jj/MM")</f>
        <v>30/05</v>
      </c>
      <c r="E12" s="64" t="s">
        <v>429</v>
      </c>
      <c r="F12" s="73">
        <f>'🗄️ BD Source'!D7</f>
        <v>46165</v>
      </c>
      <c r="G12" s="65">
        <v>1</v>
      </c>
      <c r="I12" s="84" t="s">
        <v>386</v>
      </c>
      <c r="J12" s="105">
        <f>'🗄️ BD Source'!D10</f>
        <v>46167</v>
      </c>
      <c r="K12" s="85">
        <v>1</v>
      </c>
      <c r="L12" s="85">
        <v>0</v>
      </c>
    </row>
    <row r="13" spans="1:12" x14ac:dyDescent="0.3">
      <c r="A13" s="44" t="s">
        <v>189</v>
      </c>
      <c r="B13" s="108" t="str">
        <f>TEXT('🗄️ BD Source'!G18,"jj/MM")</f>
        <v>30/05</v>
      </c>
      <c r="C13" s="108" t="str">
        <f>TEXT('🗄️ BD Source'!D8,"jj/MM")</f>
        <v>05/06</v>
      </c>
      <c r="E13" s="64" t="s">
        <v>430</v>
      </c>
      <c r="F13" s="73">
        <f>'🗄️ BD Source'!E23</f>
        <v>46165</v>
      </c>
      <c r="G13" s="65">
        <f>'🗄️ BD Source'!I23</f>
        <v>13</v>
      </c>
      <c r="I13" s="84" t="s">
        <v>434</v>
      </c>
      <c r="J13" s="105">
        <f>'🗄️ BD Source'!E17</f>
        <v>46167</v>
      </c>
      <c r="K13" s="85">
        <f>'🗄️ BD Source'!I17</f>
        <v>2</v>
      </c>
      <c r="L13" s="85">
        <f>'🗄️ BD Source'!I17</f>
        <v>2</v>
      </c>
    </row>
    <row r="14" spans="1:12" x14ac:dyDescent="0.3">
      <c r="A14" s="25" t="s">
        <v>202</v>
      </c>
      <c r="B14" s="109" t="str">
        <f>TEXT('🗄️ BD Source'!D9,"jj/MM")</f>
        <v>05/06</v>
      </c>
      <c r="C14" s="109" t="str">
        <f>TEXT('🗄️ BD Source'!F9,"jj/MM")</f>
        <v>06/06</v>
      </c>
      <c r="E14" s="64" t="s">
        <v>431</v>
      </c>
      <c r="F14" s="73">
        <f>'🗄️ BD Source'!E16</f>
        <v>46165</v>
      </c>
      <c r="G14" s="65">
        <f>'🗄️ BD Source'!I16</f>
        <v>2</v>
      </c>
      <c r="I14" s="84" t="s">
        <v>467</v>
      </c>
      <c r="J14" s="105">
        <f>'🗄️ BD Source'!E18</f>
        <v>46169</v>
      </c>
      <c r="K14" s="85">
        <f>'🗄️ BD Source'!I18</f>
        <v>3</v>
      </c>
      <c r="L14" s="85">
        <f>'🗄️ BD Source'!I18</f>
        <v>3</v>
      </c>
    </row>
    <row r="15" spans="1:12" x14ac:dyDescent="0.3">
      <c r="A15" s="4" t="s">
        <v>204</v>
      </c>
      <c r="B15" s="106" t="str">
        <f>TEXT('🗄️ BD Source'!D7,"jj/MM")</f>
        <v>23/05</v>
      </c>
      <c r="C15" s="106" t="str">
        <f>TEXT('🗄️ BD Source'!F7,"jj/MM")</f>
        <v>23/05</v>
      </c>
      <c r="E15" s="64"/>
      <c r="I15" s="86" t="s">
        <v>436</v>
      </c>
      <c r="J15" s="105">
        <f>'🗄️ BD Source'!G18</f>
        <v>46172</v>
      </c>
      <c r="K15" s="85">
        <f>INT('🗄️ BD Source'!D8)-INT('🗄️ BD Source'!G18)</f>
        <v>6</v>
      </c>
      <c r="L15" s="85">
        <f>INT('🗄️ BD Source'!D8)-INT('🗄️ BD Source'!G18)</f>
        <v>6</v>
      </c>
    </row>
    <row r="16" spans="1:12" x14ac:dyDescent="0.3">
      <c r="A16" s="4" t="s">
        <v>205</v>
      </c>
      <c r="B16" s="106" t="str">
        <f>TEXT('🗄️ BD Source'!E23,"jj/MM")</f>
        <v>23/05</v>
      </c>
      <c r="C16" s="106" t="str">
        <f>TEXT('🗄️ BD Source'!G23,"jj/MM")</f>
        <v>05/06</v>
      </c>
      <c r="E16" s="79" t="s">
        <v>432</v>
      </c>
      <c r="F16" s="46"/>
      <c r="G16" s="46"/>
      <c r="I16" s="84" t="s">
        <v>388</v>
      </c>
      <c r="J16" s="105">
        <f>'🗄️ BD Source'!D8</f>
        <v>46178</v>
      </c>
      <c r="K16" s="85">
        <f>'🗄️ BD Source'!F8-'🗄️ BD Source'!D8+1</f>
        <v>2</v>
      </c>
      <c r="L16" s="85">
        <f>'🗄️ BD Source'!F8-'🗄️ BD Source'!D8+1</f>
        <v>2</v>
      </c>
    </row>
    <row r="17" spans="1:12" x14ac:dyDescent="0.3">
      <c r="A17" s="4" t="s">
        <v>168</v>
      </c>
      <c r="B17" s="106" t="str">
        <f>TEXT('🗄️ BD Source'!E16,"jj/MM")</f>
        <v>23/05</v>
      </c>
      <c r="C17" s="106" t="str">
        <f>TEXT('🗄️ BD Source'!G16,"jj/MM")</f>
        <v>25/05</v>
      </c>
      <c r="E17" s="64" t="s">
        <v>433</v>
      </c>
      <c r="F17" s="73">
        <f>'🗄️ BD Source'!D10</f>
        <v>46167</v>
      </c>
      <c r="G17" s="65">
        <v>1</v>
      </c>
      <c r="I17" s="87" t="s">
        <v>455</v>
      </c>
      <c r="J17" s="105">
        <f>'🗄️ BD Source'!F8</f>
        <v>46179</v>
      </c>
      <c r="K17" s="85">
        <v>3</v>
      </c>
      <c r="L17" s="85">
        <v>0</v>
      </c>
    </row>
    <row r="18" spans="1:12" x14ac:dyDescent="0.3">
      <c r="A18" s="4" t="s">
        <v>176</v>
      </c>
      <c r="B18" s="106" t="str">
        <f>TEXT('🗄️ BD Source'!E17,"jj/MM")</f>
        <v>25/05</v>
      </c>
      <c r="C18" s="106" t="str">
        <f>TEXT('🗄️ BD Source'!G17,"jj/MM")</f>
        <v>27/05</v>
      </c>
      <c r="E18" s="64" t="s">
        <v>434</v>
      </c>
      <c r="F18" s="73">
        <f>'🗄️ BD Source'!E17</f>
        <v>46167</v>
      </c>
      <c r="G18" s="65">
        <f>'🗄️ BD Source'!I17</f>
        <v>2</v>
      </c>
      <c r="I18" s="84"/>
    </row>
    <row r="19" spans="1:12" x14ac:dyDescent="0.3">
      <c r="A19" s="4" t="s">
        <v>183</v>
      </c>
      <c r="B19" s="106" t="str">
        <f>TEXT('🗄️ BD Source'!E18,"jj/MM")</f>
        <v>27/05</v>
      </c>
      <c r="C19" s="106" t="str">
        <f>TEXT('🗄️ BD Source'!G18,"jj/MM")</f>
        <v>30/05</v>
      </c>
      <c r="E19" s="64" t="s">
        <v>435</v>
      </c>
      <c r="F19" s="73">
        <f>'🗄️ BD Source'!E18</f>
        <v>46169</v>
      </c>
      <c r="G19" s="65">
        <f>'🗄️ BD Source'!I18</f>
        <v>3</v>
      </c>
      <c r="I19" s="84"/>
    </row>
    <row r="20" spans="1:12" x14ac:dyDescent="0.3">
      <c r="A20" s="44" t="s">
        <v>189</v>
      </c>
      <c r="B20" s="108" t="str">
        <f>TEXT('🗄️ BD Source'!G18,"jj/MM")</f>
        <v>30/05</v>
      </c>
      <c r="C20" s="108" t="str">
        <f>TEXT('🗄️ BD Source'!D8,"jj/MM")</f>
        <v>05/06</v>
      </c>
      <c r="E20" s="66" t="s">
        <v>436</v>
      </c>
      <c r="F20" s="74">
        <f>'🗄️ BD Source'!G18</f>
        <v>46172</v>
      </c>
      <c r="G20" s="104">
        <f>INT('🗄️ BD Source'!D8)-INT('🗄️ BD Source'!G18)</f>
        <v>6</v>
      </c>
      <c r="I20" s="84"/>
    </row>
    <row r="21" spans="1:12" x14ac:dyDescent="0.3">
      <c r="A21" s="4" t="s">
        <v>206</v>
      </c>
      <c r="B21" s="106" t="str">
        <f>TEXT('🗄️ BD Source'!D8,"jj/MM")</f>
        <v>05/06</v>
      </c>
      <c r="C21" s="106" t="str">
        <f>TEXT('🗄️ BD Source'!F8,"jj/MM")</f>
        <v>06/06</v>
      </c>
      <c r="E21" s="64" t="s">
        <v>437</v>
      </c>
      <c r="F21" s="73">
        <f>'🗄️ BD Source'!D8</f>
        <v>46178</v>
      </c>
      <c r="G21" s="65">
        <f>'🗄️ BD Source'!F8-'🗄️ BD Source'!D8+1</f>
        <v>2</v>
      </c>
      <c r="I21" s="84"/>
    </row>
    <row r="22" spans="1:12" x14ac:dyDescent="0.3">
      <c r="A22" s="4"/>
      <c r="B22" s="110"/>
      <c r="C22" s="110"/>
      <c r="E22" s="80" t="s">
        <v>438</v>
      </c>
      <c r="F22" s="83">
        <f>'🗄️ BD Source'!F8</f>
        <v>46179</v>
      </c>
      <c r="G22" s="82">
        <v>3</v>
      </c>
    </row>
    <row r="23" spans="1:12" x14ac:dyDescent="0.3">
      <c r="A23" s="42" t="s">
        <v>207</v>
      </c>
      <c r="B23" s="109" t="s">
        <v>196</v>
      </c>
      <c r="C23" s="109" t="s">
        <v>197</v>
      </c>
    </row>
    <row r="24" spans="1:12" x14ac:dyDescent="0.3">
      <c r="A24" s="4" t="s">
        <v>208</v>
      </c>
      <c r="B24" s="106" t="str">
        <f>TEXT('🗄️ BD Source'!D10,"jj/MM")</f>
        <v>25/05</v>
      </c>
      <c r="C24" s="106" t="str">
        <f>TEXT('🗄️ BD Source'!F11,"jj/MM")</f>
        <v>25/05</v>
      </c>
    </row>
    <row r="25" spans="1:12" x14ac:dyDescent="0.3">
      <c r="A25" s="4" t="s">
        <v>176</v>
      </c>
      <c r="B25" s="106" t="str">
        <f>TEXT('🗄️ BD Source'!E17,"jj/MM")</f>
        <v>25/05</v>
      </c>
      <c r="C25" s="106" t="str">
        <f>TEXT('🗄️ BD Source'!G17,"jj/MM")</f>
        <v>27/05</v>
      </c>
    </row>
    <row r="26" spans="1:12" x14ac:dyDescent="0.3">
      <c r="A26" s="4" t="s">
        <v>183</v>
      </c>
      <c r="B26" s="106" t="str">
        <f>TEXT('🗄️ BD Source'!E18,"jj/MM")</f>
        <v>27/05</v>
      </c>
      <c r="C26" s="106" t="str">
        <f>TEXT('🗄️ BD Source'!G18,"jj/MM")</f>
        <v>30/05</v>
      </c>
    </row>
    <row r="27" spans="1:12" x14ac:dyDescent="0.3">
      <c r="A27" s="44" t="s">
        <v>189</v>
      </c>
      <c r="B27" s="108" t="str">
        <f>TEXT('🗄️ BD Source'!G18,"jj/MM")</f>
        <v>30/05</v>
      </c>
      <c r="C27" s="108" t="str">
        <f>TEXT('🗄️ BD Source'!D8,"jj/MM")</f>
        <v>05/06</v>
      </c>
    </row>
    <row r="28" spans="1:12" x14ac:dyDescent="0.3">
      <c r="A28" s="89" t="s">
        <v>441</v>
      </c>
      <c r="B28" s="107" t="s">
        <v>443</v>
      </c>
      <c r="C28" s="107" t="s">
        <v>444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93D6A-0781-47BE-993A-7870251423BC}">
  <dimension ref="A1:F23"/>
  <sheetViews>
    <sheetView workbookViewId="0">
      <selection activeCell="B16" sqref="B16"/>
    </sheetView>
  </sheetViews>
  <sheetFormatPr baseColWidth="10" defaultRowHeight="14.4" x14ac:dyDescent="0.3"/>
  <cols>
    <col min="1" max="2" width="29.6640625" customWidth="1"/>
    <col min="3" max="3" width="29.6640625" style="97" customWidth="1"/>
    <col min="4" max="5" width="29.6640625" customWidth="1"/>
    <col min="6" max="6" width="56.33203125" bestFit="1" customWidth="1"/>
  </cols>
  <sheetData>
    <row r="1" spans="1:6" ht="18" x14ac:dyDescent="0.35">
      <c r="A1" s="23" t="s">
        <v>209</v>
      </c>
      <c r="B1" s="24"/>
      <c r="C1" s="95"/>
      <c r="D1" s="24"/>
      <c r="E1" s="24"/>
      <c r="F1" s="24"/>
    </row>
    <row r="3" spans="1:6" x14ac:dyDescent="0.3">
      <c r="A3" s="18" t="s">
        <v>210</v>
      </c>
      <c r="B3" s="18" t="s">
        <v>211</v>
      </c>
      <c r="C3" s="19" t="s">
        <v>212</v>
      </c>
      <c r="D3" s="19" t="s">
        <v>213</v>
      </c>
      <c r="E3" s="19" t="s">
        <v>214</v>
      </c>
      <c r="F3" s="19" t="s">
        <v>215</v>
      </c>
    </row>
    <row r="4" spans="1:6" x14ac:dyDescent="0.3">
      <c r="A4" s="42" t="s">
        <v>203</v>
      </c>
      <c r="B4" s="46"/>
      <c r="C4" s="96"/>
      <c r="D4" s="46"/>
      <c r="E4" s="46"/>
      <c r="F4" s="46"/>
    </row>
    <row r="5" spans="1:6" x14ac:dyDescent="0.3">
      <c r="A5" s="4" t="s">
        <v>216</v>
      </c>
      <c r="B5" s="4" t="s">
        <v>217</v>
      </c>
      <c r="C5" s="12">
        <f>'🗄️ BD Source'!O7</f>
        <v>845.81</v>
      </c>
      <c r="D5" s="4"/>
      <c r="E5" s="20" t="s">
        <v>75</v>
      </c>
      <c r="F5" s="4" t="s">
        <v>218</v>
      </c>
    </row>
    <row r="6" spans="1:6" x14ac:dyDescent="0.3">
      <c r="A6" s="4" t="s">
        <v>219</v>
      </c>
      <c r="B6" s="4" t="s">
        <v>220</v>
      </c>
      <c r="C6" s="12">
        <f>'🗄️ BD Source'!L16</f>
        <v>116</v>
      </c>
      <c r="D6" s="12">
        <f>'🗄️ BD Source'!M16</f>
        <v>779.62</v>
      </c>
      <c r="E6" s="20" t="s">
        <v>221</v>
      </c>
      <c r="F6" s="4" t="s">
        <v>222</v>
      </c>
    </row>
    <row r="7" spans="1:6" x14ac:dyDescent="0.3">
      <c r="A7" s="4" t="s">
        <v>219</v>
      </c>
      <c r="B7" s="4" t="s">
        <v>223</v>
      </c>
      <c r="C7" s="12">
        <f>'🗄️ BD Source'!L17/4</f>
        <v>31.25</v>
      </c>
      <c r="D7" s="12">
        <f>'🗄️ BD Source'!M17/4</f>
        <v>210</v>
      </c>
      <c r="E7" s="22" t="s">
        <v>224</v>
      </c>
      <c r="F7" s="4" t="s">
        <v>225</v>
      </c>
    </row>
    <row r="8" spans="1:6" x14ac:dyDescent="0.3">
      <c r="A8" s="4" t="s">
        <v>219</v>
      </c>
      <c r="B8" s="4" t="s">
        <v>226</v>
      </c>
      <c r="C8" s="12">
        <f>'🗄️ BD Source'!L18/4</f>
        <v>73.5</v>
      </c>
      <c r="D8" s="12">
        <f>'🗄️ BD Source'!M18/4</f>
        <v>492</v>
      </c>
      <c r="E8" s="22" t="s">
        <v>669</v>
      </c>
      <c r="F8" s="4" t="s">
        <v>227</v>
      </c>
    </row>
    <row r="9" spans="1:6" x14ac:dyDescent="0.3">
      <c r="A9" s="4" t="s">
        <v>228</v>
      </c>
      <c r="B9" s="4" t="s">
        <v>229</v>
      </c>
      <c r="C9" s="5"/>
      <c r="D9" s="12">
        <f>'🗄️ BD Source'!J23</f>
        <v>3132.3</v>
      </c>
      <c r="E9" s="45" t="s">
        <v>672</v>
      </c>
      <c r="F9" s="4" t="s">
        <v>231</v>
      </c>
    </row>
    <row r="10" spans="1:6" x14ac:dyDescent="0.3">
      <c r="A10" s="4" t="s">
        <v>219</v>
      </c>
      <c r="B10" s="4" t="s">
        <v>652</v>
      </c>
      <c r="C10" s="5">
        <f>'🗄️ BD Source'!L19/4</f>
        <v>32.25</v>
      </c>
      <c r="D10" s="12">
        <f>'🗄️ BD Source'!M19/4</f>
        <v>215.28</v>
      </c>
      <c r="E10" s="45" t="s">
        <v>671</v>
      </c>
      <c r="F10" s="4" t="s">
        <v>243</v>
      </c>
    </row>
    <row r="11" spans="1:6" x14ac:dyDescent="0.3">
      <c r="A11" s="47" t="s">
        <v>232</v>
      </c>
      <c r="B11" s="32"/>
      <c r="C11" s="48">
        <f>SUM(C5:C10)</f>
        <v>1098.81</v>
      </c>
      <c r="D11" s="48">
        <f>SUM(D5:D10)</f>
        <v>4829.2</v>
      </c>
      <c r="E11" s="32"/>
      <c r="F11" s="32"/>
    </row>
    <row r="12" spans="1:6" x14ac:dyDescent="0.3">
      <c r="A12" s="4"/>
    </row>
    <row r="13" spans="1:6" x14ac:dyDescent="0.3">
      <c r="A13" s="42" t="s">
        <v>195</v>
      </c>
      <c r="B13" s="46"/>
      <c r="C13" s="96"/>
      <c r="D13" s="46"/>
      <c r="E13" s="46"/>
      <c r="F13" s="46"/>
    </row>
    <row r="14" spans="1:6" x14ac:dyDescent="0.3">
      <c r="A14" s="4" t="s">
        <v>216</v>
      </c>
      <c r="B14" s="4" t="s">
        <v>233</v>
      </c>
      <c r="C14" s="12">
        <f>'🗄️ BD Source'!O5</f>
        <v>290.14999999999998</v>
      </c>
      <c r="D14" s="4"/>
      <c r="E14" s="20" t="s">
        <v>75</v>
      </c>
      <c r="F14" s="4" t="s">
        <v>234</v>
      </c>
    </row>
    <row r="15" spans="1:6" x14ac:dyDescent="0.3">
      <c r="A15" s="4" t="s">
        <v>216</v>
      </c>
      <c r="B15" s="4" t="s">
        <v>235</v>
      </c>
      <c r="C15" s="12">
        <f>'🗄️ BD Source'!O9</f>
        <v>552.15</v>
      </c>
      <c r="D15" s="4"/>
      <c r="E15" s="20" t="s">
        <v>75</v>
      </c>
      <c r="F15" s="4" t="s">
        <v>236</v>
      </c>
    </row>
    <row r="16" spans="1:6" x14ac:dyDescent="0.3">
      <c r="A16" s="4" t="s">
        <v>216</v>
      </c>
      <c r="B16" s="4" t="s">
        <v>237</v>
      </c>
      <c r="C16" s="5"/>
      <c r="D16" s="12">
        <f>('🗄️ BD Source'!P10+'🗄️ BD Source'!P11)/3</f>
        <v>699.77</v>
      </c>
      <c r="E16" s="22" t="s">
        <v>238</v>
      </c>
      <c r="F16" s="4" t="s">
        <v>411</v>
      </c>
    </row>
    <row r="17" spans="1:6" x14ac:dyDescent="0.3">
      <c r="A17" s="4" t="s">
        <v>216</v>
      </c>
      <c r="B17" s="4" t="s">
        <v>409</v>
      </c>
      <c r="C17" s="5">
        <f>'🗄️ BD Source'!O6</f>
        <v>311.8</v>
      </c>
      <c r="D17" s="12"/>
      <c r="E17" s="22" t="s">
        <v>238</v>
      </c>
      <c r="F17" s="4" t="s">
        <v>410</v>
      </c>
    </row>
    <row r="18" spans="1:6" x14ac:dyDescent="0.3">
      <c r="A18" s="4" t="s">
        <v>219</v>
      </c>
      <c r="B18" s="4" t="s">
        <v>239</v>
      </c>
      <c r="C18" s="12">
        <f>'🗄️ BD Source'!L15/2</f>
        <v>51.5</v>
      </c>
      <c r="D18" s="12">
        <f>'🗄️ BD Source'!M15/2</f>
        <v>345.82499999999999</v>
      </c>
      <c r="E18" s="45" t="s">
        <v>240</v>
      </c>
      <c r="F18" s="4" t="s">
        <v>241</v>
      </c>
    </row>
    <row r="19" spans="1:6" x14ac:dyDescent="0.3">
      <c r="A19" s="4" t="s">
        <v>219</v>
      </c>
      <c r="B19" s="4" t="s">
        <v>242</v>
      </c>
      <c r="C19" s="12">
        <f>'🗄️ BD Source'!L17/4</f>
        <v>31.25</v>
      </c>
      <c r="D19" s="12">
        <f>'🗄️ BD Source'!M17/4</f>
        <v>210</v>
      </c>
      <c r="E19" s="22" t="s">
        <v>669</v>
      </c>
      <c r="F19" s="4" t="s">
        <v>243</v>
      </c>
    </row>
    <row r="20" spans="1:6" x14ac:dyDescent="0.3">
      <c r="A20" s="4" t="s">
        <v>219</v>
      </c>
      <c r="B20" s="4" t="s">
        <v>244</v>
      </c>
      <c r="C20" s="12">
        <f>'🗄️ BD Source'!L18/4</f>
        <v>73.5</v>
      </c>
      <c r="D20" s="12">
        <f>'🗄️ BD Source'!M18/4</f>
        <v>492</v>
      </c>
      <c r="E20" s="22" t="s">
        <v>672</v>
      </c>
      <c r="F20" s="4" t="s">
        <v>243</v>
      </c>
    </row>
    <row r="21" spans="1:6" x14ac:dyDescent="0.3">
      <c r="A21" s="47" t="s">
        <v>219</v>
      </c>
      <c r="B21" s="32" t="s">
        <v>652</v>
      </c>
      <c r="C21" s="48">
        <f>'🗄️ BD Source'!L19/4</f>
        <v>32.25</v>
      </c>
      <c r="D21" s="48">
        <f>'🗄️ BD Source'!M19/4</f>
        <v>215.28</v>
      </c>
      <c r="E21" s="32" t="s">
        <v>671</v>
      </c>
      <c r="F21" s="32" t="s">
        <v>243</v>
      </c>
    </row>
    <row r="22" spans="1:6" x14ac:dyDescent="0.3">
      <c r="A22" s="47"/>
      <c r="B22" s="32"/>
      <c r="C22" s="48"/>
      <c r="D22" s="48"/>
      <c r="E22" s="32"/>
      <c r="F22" s="32"/>
    </row>
    <row r="23" spans="1:6" x14ac:dyDescent="0.3">
      <c r="A23" t="s">
        <v>245</v>
      </c>
      <c r="C23" s="97">
        <f>SUM(C14:C21)</f>
        <v>1342.6</v>
      </c>
      <c r="D23">
        <f>SUM(D14:D21)</f>
        <v>1962.875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15AB-0EDA-48A9-A1D0-72BE9C83DEF9}">
  <dimension ref="A1:D27"/>
  <sheetViews>
    <sheetView workbookViewId="0">
      <selection activeCell="B23" sqref="B23"/>
    </sheetView>
  </sheetViews>
  <sheetFormatPr baseColWidth="10" defaultRowHeight="14.4" x14ac:dyDescent="0.3"/>
  <cols>
    <col min="1" max="1" width="46.33203125" customWidth="1"/>
    <col min="2" max="2" width="27.77734375" style="97" customWidth="1"/>
    <col min="3" max="3" width="27.77734375" customWidth="1"/>
    <col min="4" max="4" width="42.77734375" bestFit="1" customWidth="1"/>
  </cols>
  <sheetData>
    <row r="1" spans="1:4" ht="18" x14ac:dyDescent="0.35">
      <c r="A1" s="23" t="s">
        <v>246</v>
      </c>
      <c r="B1" s="95"/>
      <c r="C1" s="24"/>
      <c r="D1" s="24"/>
    </row>
    <row r="3" spans="1:4" x14ac:dyDescent="0.3">
      <c r="A3" s="18" t="s">
        <v>210</v>
      </c>
      <c r="B3" s="19" t="s">
        <v>247</v>
      </c>
      <c r="C3" s="19" t="s">
        <v>248</v>
      </c>
      <c r="D3" s="18" t="s">
        <v>249</v>
      </c>
    </row>
    <row r="4" spans="1:4" x14ac:dyDescent="0.3">
      <c r="A4" s="25" t="s">
        <v>250</v>
      </c>
      <c r="B4" s="96"/>
      <c r="C4" s="46"/>
      <c r="D4" s="46"/>
    </row>
    <row r="5" spans="1:4" x14ac:dyDescent="0.3">
      <c r="A5" s="4" t="s">
        <v>251</v>
      </c>
      <c r="B5" s="12">
        <f>'🗄️ BD Source'!O5</f>
        <v>290.14999999999998</v>
      </c>
      <c r="C5" s="4"/>
      <c r="D5" s="13" t="s">
        <v>252</v>
      </c>
    </row>
    <row r="6" spans="1:4" x14ac:dyDescent="0.3">
      <c r="A6" s="4" t="s">
        <v>253</v>
      </c>
      <c r="B6" s="12">
        <f>'🗄️ BD Source'!O7</f>
        <v>845.81</v>
      </c>
      <c r="C6" s="4"/>
      <c r="D6" s="13" t="s">
        <v>252</v>
      </c>
    </row>
    <row r="7" spans="1:4" x14ac:dyDescent="0.3">
      <c r="A7" s="4" t="s">
        <v>254</v>
      </c>
      <c r="B7" s="12">
        <f>'🗄️ BD Source'!O9</f>
        <v>552.15</v>
      </c>
      <c r="C7" s="4"/>
      <c r="D7" s="13" t="s">
        <v>252</v>
      </c>
    </row>
    <row r="8" spans="1:4" x14ac:dyDescent="0.3">
      <c r="A8" s="25" t="s">
        <v>255</v>
      </c>
      <c r="B8" s="96"/>
      <c r="C8" s="46"/>
      <c r="D8" s="46"/>
    </row>
    <row r="9" spans="1:4" x14ac:dyDescent="0.3">
      <c r="A9" s="25" t="s">
        <v>412</v>
      </c>
      <c r="B9" s="98"/>
      <c r="C9" s="71"/>
      <c r="D9" s="72" t="s">
        <v>413</v>
      </c>
    </row>
    <row r="10" spans="1:4" x14ac:dyDescent="0.3">
      <c r="A10" s="4" t="s">
        <v>409</v>
      </c>
      <c r="B10" s="5">
        <f>'🗄️ BD Source'!O6</f>
        <v>311.8</v>
      </c>
      <c r="C10" s="12"/>
      <c r="D10" s="13" t="s">
        <v>252</v>
      </c>
    </row>
    <row r="11" spans="1:4" x14ac:dyDescent="0.3">
      <c r="A11" s="4" t="s">
        <v>414</v>
      </c>
      <c r="B11" s="5"/>
      <c r="C11" s="12">
        <f>'🗄️ BD Source'!P10</f>
        <v>1300.17</v>
      </c>
      <c r="D11" s="13" t="s">
        <v>252</v>
      </c>
    </row>
    <row r="12" spans="1:4" x14ac:dyDescent="0.3">
      <c r="A12" s="4" t="s">
        <v>415</v>
      </c>
      <c r="B12" s="5"/>
      <c r="C12" s="12">
        <f>'🗄️ BD Source'!P11</f>
        <v>799.14</v>
      </c>
      <c r="D12" s="13" t="s">
        <v>252</v>
      </c>
    </row>
    <row r="13" spans="1:4" x14ac:dyDescent="0.3">
      <c r="A13" s="25" t="s">
        <v>256</v>
      </c>
      <c r="B13" s="96"/>
      <c r="C13" s="46"/>
      <c r="D13" s="46"/>
    </row>
    <row r="14" spans="1:4" x14ac:dyDescent="0.3">
      <c r="A14" s="4" t="s">
        <v>257</v>
      </c>
      <c r="B14" s="12">
        <f>'🗄️ BD Source'!L15</f>
        <v>103</v>
      </c>
      <c r="C14" s="12">
        <f>'🗄️ BD Source'!M15</f>
        <v>691.65</v>
      </c>
      <c r="D14" s="9" t="s">
        <v>240</v>
      </c>
    </row>
    <row r="15" spans="1:4" x14ac:dyDescent="0.3">
      <c r="A15" s="4" t="s">
        <v>258</v>
      </c>
      <c r="B15" s="12">
        <f>'🗄️ BD Source'!L16</f>
        <v>116</v>
      </c>
      <c r="C15" s="12">
        <f>'🗄️ BD Source'!M16</f>
        <v>779.62</v>
      </c>
      <c r="D15" s="13" t="s">
        <v>221</v>
      </c>
    </row>
    <row r="16" spans="1:4" x14ac:dyDescent="0.3">
      <c r="A16" s="4" t="s">
        <v>259</v>
      </c>
      <c r="B16" s="12">
        <f>'🗄️ BD Source'!L17</f>
        <v>125</v>
      </c>
      <c r="C16" s="12">
        <f>'🗄️ BD Source'!M17</f>
        <v>840</v>
      </c>
      <c r="D16" s="11" t="s">
        <v>260</v>
      </c>
    </row>
    <row r="17" spans="1:4" x14ac:dyDescent="0.3">
      <c r="A17" s="4" t="s">
        <v>261</v>
      </c>
      <c r="B17" s="12">
        <f>'🗄️ BD Source'!L18</f>
        <v>294</v>
      </c>
      <c r="C17" s="12">
        <f>'🗄️ BD Source'!M18</f>
        <v>1968</v>
      </c>
      <c r="D17" s="11" t="s">
        <v>669</v>
      </c>
    </row>
    <row r="18" spans="1:4" x14ac:dyDescent="0.3">
      <c r="A18" s="4" t="s">
        <v>651</v>
      </c>
      <c r="B18" s="12">
        <f>'🗄️ BD Source'!L19</f>
        <v>129</v>
      </c>
      <c r="C18" s="12">
        <f>'🗄️ BD Source'!M19</f>
        <v>861.12</v>
      </c>
      <c r="D18" s="11" t="s">
        <v>670</v>
      </c>
    </row>
    <row r="19" spans="1:4" x14ac:dyDescent="0.3">
      <c r="A19" s="25" t="s">
        <v>262</v>
      </c>
      <c r="B19" s="96"/>
      <c r="C19" s="46"/>
      <c r="D19" s="46" t="s">
        <v>671</v>
      </c>
    </row>
    <row r="20" spans="1:4" x14ac:dyDescent="0.3">
      <c r="A20" s="4" t="s">
        <v>229</v>
      </c>
      <c r="B20" s="5"/>
      <c r="C20" s="12">
        <f>'🗄️ BD Source'!J23</f>
        <v>3132.3</v>
      </c>
      <c r="D20" s="9" t="s">
        <v>230</v>
      </c>
    </row>
    <row r="21" spans="1:4" x14ac:dyDescent="0.3">
      <c r="A21" s="4"/>
    </row>
    <row r="22" spans="1:4" ht="15.6" x14ac:dyDescent="0.3">
      <c r="A22" s="49" t="s">
        <v>263</v>
      </c>
      <c r="B22" s="95"/>
      <c r="C22" s="24"/>
      <c r="D22" s="24"/>
    </row>
    <row r="23" spans="1:4" x14ac:dyDescent="0.3">
      <c r="A23" s="47" t="s">
        <v>264</v>
      </c>
      <c r="B23" s="48">
        <f>SUM(B5:B20)</f>
        <v>2766.91</v>
      </c>
      <c r="C23" s="32"/>
      <c r="D23" s="32"/>
    </row>
    <row r="24" spans="1:4" x14ac:dyDescent="0.3">
      <c r="A24" s="47" t="s">
        <v>265</v>
      </c>
      <c r="B24" s="99"/>
      <c r="C24" s="48">
        <f>SUM(C5:C20)</f>
        <v>10372</v>
      </c>
      <c r="D24" s="32"/>
    </row>
    <row r="25" spans="1:4" x14ac:dyDescent="0.3">
      <c r="A25" s="35" t="s">
        <v>266</v>
      </c>
      <c r="B25" s="50">
        <f>'🗄️ BD Source'!B50</f>
        <v>6.7</v>
      </c>
      <c r="C25" s="51" t="s">
        <v>267</v>
      </c>
      <c r="D25" s="52"/>
    </row>
    <row r="26" spans="1:4" x14ac:dyDescent="0.3">
      <c r="A26" s="47" t="s">
        <v>268</v>
      </c>
      <c r="B26" s="48">
        <f>C24/B25</f>
        <v>1548.0597014925372</v>
      </c>
      <c r="C26" s="32"/>
      <c r="D26" s="32"/>
    </row>
    <row r="27" spans="1:4" ht="15.6" x14ac:dyDescent="0.3">
      <c r="A27" s="53" t="s">
        <v>269</v>
      </c>
      <c r="B27" s="54">
        <f>B23+B26</f>
        <v>4314.9697014925368</v>
      </c>
      <c r="C27" s="55"/>
      <c r="D27" s="5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2ECD2-A611-4F4C-8F8B-88DCA96CFCB8}">
  <dimension ref="A1:D16"/>
  <sheetViews>
    <sheetView workbookViewId="0">
      <pane ySplit="3" topLeftCell="A4" activePane="bottomLeft" state="frozen"/>
      <selection pane="bottomLeft"/>
    </sheetView>
  </sheetViews>
  <sheetFormatPr baseColWidth="10" defaultRowHeight="14.4" x14ac:dyDescent="0.3"/>
  <cols>
    <col min="2" max="2" width="55.5546875" customWidth="1"/>
    <col min="4" max="4" width="55.5546875" customWidth="1"/>
  </cols>
  <sheetData>
    <row r="1" spans="1:4" ht="18" x14ac:dyDescent="0.35">
      <c r="A1" s="56" t="s">
        <v>270</v>
      </c>
      <c r="B1" s="57"/>
      <c r="C1" s="57"/>
      <c r="D1" s="57"/>
    </row>
    <row r="3" spans="1:4" x14ac:dyDescent="0.3">
      <c r="A3" s="19" t="s">
        <v>271</v>
      </c>
      <c r="B3" s="18" t="s">
        <v>272</v>
      </c>
      <c r="C3" s="18" t="s">
        <v>273</v>
      </c>
      <c r="D3" s="18" t="s">
        <v>274</v>
      </c>
    </row>
    <row r="4" spans="1:4" x14ac:dyDescent="0.3">
      <c r="A4" s="58" t="s">
        <v>275</v>
      </c>
      <c r="B4" s="10" t="s">
        <v>654</v>
      </c>
      <c r="C4" s="4" t="s">
        <v>276</v>
      </c>
      <c r="D4" s="4" t="s">
        <v>655</v>
      </c>
    </row>
    <row r="5" spans="1:4" x14ac:dyDescent="0.3">
      <c r="A5" s="58" t="s">
        <v>275</v>
      </c>
      <c r="B5" s="10" t="s">
        <v>404</v>
      </c>
      <c r="C5" s="4" t="s">
        <v>47</v>
      </c>
      <c r="D5" s="4" t="s">
        <v>405</v>
      </c>
    </row>
    <row r="6" spans="1:4" x14ac:dyDescent="0.3">
      <c r="A6" s="70" t="s">
        <v>406</v>
      </c>
      <c r="B6" s="17" t="s">
        <v>407</v>
      </c>
      <c r="C6" s="4" t="s">
        <v>2</v>
      </c>
      <c r="D6" s="4" t="s">
        <v>408</v>
      </c>
    </row>
    <row r="7" spans="1:4" x14ac:dyDescent="0.3">
      <c r="A7" s="58" t="s">
        <v>275</v>
      </c>
      <c r="B7" s="10" t="s">
        <v>277</v>
      </c>
      <c r="C7" s="4" t="s">
        <v>47</v>
      </c>
      <c r="D7" s="4" t="s">
        <v>278</v>
      </c>
    </row>
    <row r="8" spans="1:4" x14ac:dyDescent="0.3">
      <c r="A8" s="70" t="s">
        <v>406</v>
      </c>
      <c r="B8" s="17" t="s">
        <v>439</v>
      </c>
      <c r="C8" s="4" t="s">
        <v>150</v>
      </c>
      <c r="D8" s="4" t="s">
        <v>440</v>
      </c>
    </row>
    <row r="9" spans="1:4" x14ac:dyDescent="0.3">
      <c r="A9" s="59" t="s">
        <v>279</v>
      </c>
      <c r="B9" s="10" t="s">
        <v>280</v>
      </c>
      <c r="C9" s="4" t="s">
        <v>2</v>
      </c>
      <c r="D9" s="4" t="s">
        <v>281</v>
      </c>
    </row>
    <row r="10" spans="1:4" x14ac:dyDescent="0.3">
      <c r="A10" s="59" t="s">
        <v>279</v>
      </c>
      <c r="B10" s="10" t="s">
        <v>282</v>
      </c>
      <c r="C10" s="4" t="s">
        <v>1</v>
      </c>
      <c r="D10" s="4" t="s">
        <v>283</v>
      </c>
    </row>
    <row r="11" spans="1:4" x14ac:dyDescent="0.3">
      <c r="A11" s="59" t="s">
        <v>279</v>
      </c>
      <c r="B11" s="10" t="s">
        <v>284</v>
      </c>
      <c r="C11" s="4" t="s">
        <v>47</v>
      </c>
      <c r="D11" s="4" t="s">
        <v>285</v>
      </c>
    </row>
    <row r="12" spans="1:4" x14ac:dyDescent="0.3">
      <c r="A12" s="60" t="s">
        <v>286</v>
      </c>
      <c r="B12" s="10" t="s">
        <v>287</v>
      </c>
      <c r="C12" s="4" t="s">
        <v>1</v>
      </c>
      <c r="D12" s="4" t="s">
        <v>288</v>
      </c>
    </row>
    <row r="13" spans="1:4" x14ac:dyDescent="0.3">
      <c r="A13" s="60" t="s">
        <v>286</v>
      </c>
      <c r="B13" s="10" t="s">
        <v>289</v>
      </c>
      <c r="C13" s="4" t="s">
        <v>1</v>
      </c>
      <c r="D13" s="4" t="s">
        <v>290</v>
      </c>
    </row>
    <row r="14" spans="1:4" x14ac:dyDescent="0.3">
      <c r="A14" s="60" t="s">
        <v>286</v>
      </c>
      <c r="B14" s="10" t="s">
        <v>291</v>
      </c>
      <c r="C14" s="4" t="s">
        <v>2</v>
      </c>
      <c r="D14" s="4" t="s">
        <v>292</v>
      </c>
    </row>
    <row r="15" spans="1:4" x14ac:dyDescent="0.3">
      <c r="A15" t="s">
        <v>275</v>
      </c>
      <c r="B15" t="s">
        <v>684</v>
      </c>
      <c r="C15" t="s">
        <v>1</v>
      </c>
      <c r="D15" t="s">
        <v>685</v>
      </c>
    </row>
    <row r="16" spans="1:4" x14ac:dyDescent="0.3">
      <c r="A16" t="s">
        <v>686</v>
      </c>
      <c r="B16" t="s">
        <v>687</v>
      </c>
      <c r="C16" t="s">
        <v>387</v>
      </c>
      <c r="D16" t="s">
        <v>688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B5285-7A53-4F5A-A230-D1AA7CE4EDF1}">
  <dimension ref="A1"/>
  <sheetViews>
    <sheetView workbookViewId="0"/>
  </sheetViews>
  <sheetFormatPr baseColWidth="10" defaultRowHeight="14.4"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58071-9EDA-4E0E-BC52-49FB928085D1}">
  <dimension ref="A1:E21"/>
  <sheetViews>
    <sheetView workbookViewId="0">
      <selection activeCell="D26" sqref="D26"/>
    </sheetView>
  </sheetViews>
  <sheetFormatPr baseColWidth="10" defaultRowHeight="14.4" x14ac:dyDescent="0.3"/>
  <cols>
    <col min="3" max="3" width="46.33203125" customWidth="1"/>
    <col min="4" max="4" width="80.21875" bestFit="1" customWidth="1"/>
    <col min="5" max="5" width="15.21875" bestFit="1" customWidth="1"/>
  </cols>
  <sheetData>
    <row r="1" spans="1:5" ht="18" x14ac:dyDescent="0.35">
      <c r="A1" s="23" t="s">
        <v>293</v>
      </c>
      <c r="B1" s="24"/>
      <c r="C1" s="24"/>
      <c r="D1" s="24"/>
      <c r="E1" s="24"/>
    </row>
    <row r="3" spans="1:5" x14ac:dyDescent="0.3">
      <c r="A3" s="19" t="s">
        <v>294</v>
      </c>
      <c r="B3" s="18" t="s">
        <v>295</v>
      </c>
      <c r="C3" s="18" t="s">
        <v>296</v>
      </c>
      <c r="D3" s="18" t="s">
        <v>297</v>
      </c>
      <c r="E3" s="19" t="s">
        <v>298</v>
      </c>
    </row>
    <row r="4" spans="1:5" x14ac:dyDescent="0.3">
      <c r="A4" s="25" t="s">
        <v>299</v>
      </c>
      <c r="B4" s="46"/>
      <c r="C4" s="46"/>
      <c r="D4" s="46"/>
      <c r="E4" s="46"/>
    </row>
    <row r="5" spans="1:5" ht="18" x14ac:dyDescent="0.35">
      <c r="A5" s="61" t="s">
        <v>300</v>
      </c>
      <c r="B5" s="4" t="s">
        <v>1</v>
      </c>
      <c r="C5" s="4" t="s">
        <v>301</v>
      </c>
      <c r="D5" s="4" t="s">
        <v>302</v>
      </c>
      <c r="E5" s="5" t="s">
        <v>303</v>
      </c>
    </row>
    <row r="6" spans="1:5" ht="18" x14ac:dyDescent="0.35">
      <c r="A6" s="61" t="s">
        <v>300</v>
      </c>
      <c r="B6" s="4" t="s">
        <v>2</v>
      </c>
      <c r="C6" s="4" t="s">
        <v>304</v>
      </c>
      <c r="D6" s="4" t="s">
        <v>305</v>
      </c>
      <c r="E6" s="5" t="s">
        <v>303</v>
      </c>
    </row>
    <row r="7" spans="1:5" ht="18" x14ac:dyDescent="0.35">
      <c r="A7" s="61" t="s">
        <v>300</v>
      </c>
      <c r="B7" s="4" t="s">
        <v>306</v>
      </c>
      <c r="C7" s="4" t="s">
        <v>307</v>
      </c>
      <c r="D7" s="4" t="s">
        <v>308</v>
      </c>
      <c r="E7" s="5" t="s">
        <v>303</v>
      </c>
    </row>
    <row r="8" spans="1:5" x14ac:dyDescent="0.3">
      <c r="A8" s="43" t="s">
        <v>309</v>
      </c>
      <c r="B8" s="46"/>
      <c r="C8" s="46"/>
      <c r="D8" s="46"/>
      <c r="E8" s="46"/>
    </row>
    <row r="9" spans="1:5" ht="18" x14ac:dyDescent="0.35">
      <c r="A9" s="61" t="s">
        <v>300</v>
      </c>
      <c r="B9" s="4" t="s">
        <v>2</v>
      </c>
      <c r="C9" s="4" t="s">
        <v>310</v>
      </c>
      <c r="D9" s="4" t="s">
        <v>311</v>
      </c>
      <c r="E9" s="5" t="s">
        <v>312</v>
      </c>
    </row>
    <row r="10" spans="1:5" ht="18" x14ac:dyDescent="0.35">
      <c r="A10" s="61" t="s">
        <v>300</v>
      </c>
      <c r="B10" s="4" t="s">
        <v>2</v>
      </c>
      <c r="C10" s="10" t="s">
        <v>313</v>
      </c>
      <c r="D10" s="4" t="s">
        <v>314</v>
      </c>
      <c r="E10" s="45" t="s">
        <v>315</v>
      </c>
    </row>
    <row r="11" spans="1:5" ht="18" x14ac:dyDescent="0.35">
      <c r="A11" s="61" t="s">
        <v>300</v>
      </c>
      <c r="B11" s="4" t="s">
        <v>1</v>
      </c>
      <c r="C11" s="4" t="s">
        <v>316</v>
      </c>
      <c r="D11" s="4" t="s">
        <v>317</v>
      </c>
      <c r="E11" s="5" t="s">
        <v>318</v>
      </c>
    </row>
    <row r="12" spans="1:5" ht="18" x14ac:dyDescent="0.35">
      <c r="A12" s="61" t="s">
        <v>300</v>
      </c>
      <c r="B12" s="4" t="s">
        <v>1</v>
      </c>
      <c r="C12" s="10" t="s">
        <v>319</v>
      </c>
      <c r="D12" s="4" t="s">
        <v>320</v>
      </c>
      <c r="E12" s="45" t="s">
        <v>315</v>
      </c>
    </row>
    <row r="13" spans="1:5" ht="18" x14ac:dyDescent="0.35">
      <c r="A13" s="61" t="s">
        <v>300</v>
      </c>
      <c r="B13" s="4" t="s">
        <v>321</v>
      </c>
      <c r="C13" s="10" t="s">
        <v>322</v>
      </c>
      <c r="D13" s="4" t="s">
        <v>417</v>
      </c>
      <c r="E13" s="45"/>
    </row>
    <row r="14" spans="1:5" x14ac:dyDescent="0.3">
      <c r="A14" s="43" t="s">
        <v>256</v>
      </c>
      <c r="B14" s="46"/>
      <c r="C14" s="76"/>
      <c r="D14" s="71"/>
      <c r="E14" s="46"/>
    </row>
    <row r="15" spans="1:5" ht="18" x14ac:dyDescent="0.35">
      <c r="A15" s="61" t="s">
        <v>300</v>
      </c>
      <c r="B15" s="4" t="s">
        <v>1</v>
      </c>
      <c r="C15" s="10" t="s">
        <v>673</v>
      </c>
      <c r="D15" s="4" t="s">
        <v>674</v>
      </c>
      <c r="E15" s="45" t="s">
        <v>675</v>
      </c>
    </row>
    <row r="16" spans="1:5" ht="18" x14ac:dyDescent="0.35">
      <c r="A16" s="61" t="s">
        <v>300</v>
      </c>
      <c r="B16" s="4" t="s">
        <v>1</v>
      </c>
      <c r="C16" s="10" t="s">
        <v>678</v>
      </c>
      <c r="D16" s="4" t="s">
        <v>679</v>
      </c>
      <c r="E16" s="45" t="s">
        <v>680</v>
      </c>
    </row>
    <row r="17" spans="1:5" ht="18" x14ac:dyDescent="0.35">
      <c r="A17" s="61" t="s">
        <v>300</v>
      </c>
      <c r="B17" s="4" t="s">
        <v>1</v>
      </c>
      <c r="C17" s="10" t="s">
        <v>681</v>
      </c>
      <c r="D17" s="4" t="s">
        <v>682</v>
      </c>
      <c r="E17" s="45" t="s">
        <v>683</v>
      </c>
    </row>
    <row r="18" spans="1:5" ht="18" x14ac:dyDescent="0.35">
      <c r="A18" s="61" t="s">
        <v>300</v>
      </c>
      <c r="B18" s="4" t="s">
        <v>306</v>
      </c>
      <c r="C18" s="10" t="s">
        <v>676</v>
      </c>
      <c r="D18" s="4" t="s">
        <v>677</v>
      </c>
      <c r="E18" s="62" t="s">
        <v>323</v>
      </c>
    </row>
    <row r="19" spans="1:5" x14ac:dyDescent="0.3">
      <c r="A19" s="43" t="s">
        <v>324</v>
      </c>
      <c r="B19" s="46"/>
      <c r="C19" s="46"/>
      <c r="D19" s="46"/>
      <c r="E19" s="46"/>
    </row>
    <row r="20" spans="1:5" ht="18" x14ac:dyDescent="0.35">
      <c r="A20" s="61" t="s">
        <v>300</v>
      </c>
      <c r="B20" s="4" t="s">
        <v>321</v>
      </c>
      <c r="C20" s="10" t="s">
        <v>325</v>
      </c>
      <c r="D20" s="4" t="s">
        <v>326</v>
      </c>
      <c r="E20" s="5" t="s">
        <v>327</v>
      </c>
    </row>
    <row r="21" spans="1:5" ht="18" x14ac:dyDescent="0.35">
      <c r="A21" s="61" t="s">
        <v>300</v>
      </c>
      <c r="B21" s="4" t="s">
        <v>1</v>
      </c>
      <c r="C21" s="10" t="s">
        <v>328</v>
      </c>
      <c r="D21" s="4" t="s">
        <v>329</v>
      </c>
      <c r="E21" s="5" t="s">
        <v>330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EFE4-46B0-444A-AB92-B3329562B092}">
  <dimension ref="A1:D24"/>
  <sheetViews>
    <sheetView workbookViewId="0">
      <selection activeCell="D23" sqref="D23"/>
    </sheetView>
  </sheetViews>
  <sheetFormatPr baseColWidth="10" defaultRowHeight="14.4" x14ac:dyDescent="0.3"/>
  <cols>
    <col min="1" max="1" width="37" customWidth="1"/>
    <col min="2" max="2" width="46.33203125" customWidth="1"/>
    <col min="3" max="3" width="50.88671875" bestFit="1" customWidth="1"/>
    <col min="4" max="4" width="62.33203125" bestFit="1" customWidth="1"/>
  </cols>
  <sheetData>
    <row r="1" spans="1:4" ht="18" x14ac:dyDescent="0.35">
      <c r="A1" s="23" t="s">
        <v>331</v>
      </c>
      <c r="B1" s="24"/>
      <c r="C1" s="24"/>
      <c r="D1" s="24"/>
    </row>
    <row r="3" spans="1:4" x14ac:dyDescent="0.3">
      <c r="A3" s="18" t="s">
        <v>332</v>
      </c>
      <c r="B3" s="18" t="s">
        <v>333</v>
      </c>
      <c r="C3" s="18" t="s">
        <v>116</v>
      </c>
      <c r="D3" s="18" t="s">
        <v>215</v>
      </c>
    </row>
    <row r="4" spans="1:4" x14ac:dyDescent="0.3">
      <c r="A4" s="25" t="s">
        <v>334</v>
      </c>
      <c r="B4" s="46"/>
      <c r="C4" s="46"/>
      <c r="D4" s="46"/>
    </row>
    <row r="5" spans="1:4" x14ac:dyDescent="0.3">
      <c r="A5" s="4" t="s">
        <v>335</v>
      </c>
      <c r="B5" s="4" t="s">
        <v>336</v>
      </c>
      <c r="C5" s="4" t="s">
        <v>337</v>
      </c>
      <c r="D5" s="4" t="s">
        <v>338</v>
      </c>
    </row>
    <row r="6" spans="1:4" x14ac:dyDescent="0.3">
      <c r="A6" s="4" t="s">
        <v>34</v>
      </c>
      <c r="B6" s="4" t="s">
        <v>339</v>
      </c>
      <c r="C6" s="4" t="s">
        <v>52</v>
      </c>
      <c r="D6" s="4" t="s">
        <v>340</v>
      </c>
    </row>
    <row r="7" spans="1:4" x14ac:dyDescent="0.3">
      <c r="A7" s="4" t="s">
        <v>341</v>
      </c>
      <c r="B7" s="4" t="s">
        <v>342</v>
      </c>
      <c r="C7" s="4" t="s">
        <v>343</v>
      </c>
      <c r="D7" s="4" t="s">
        <v>418</v>
      </c>
    </row>
    <row r="8" spans="1:4" x14ac:dyDescent="0.3">
      <c r="A8" s="4" t="s">
        <v>344</v>
      </c>
      <c r="B8" s="4" t="s">
        <v>345</v>
      </c>
      <c r="C8" s="4" t="s">
        <v>346</v>
      </c>
      <c r="D8" s="4" t="s">
        <v>347</v>
      </c>
    </row>
    <row r="9" spans="1:4" x14ac:dyDescent="0.3">
      <c r="A9" s="4"/>
    </row>
    <row r="10" spans="1:4" x14ac:dyDescent="0.3">
      <c r="A10" s="25" t="s">
        <v>348</v>
      </c>
      <c r="B10" s="46"/>
      <c r="C10" s="46"/>
      <c r="D10" s="46"/>
    </row>
    <row r="11" spans="1:4" x14ac:dyDescent="0.3">
      <c r="A11" s="4" t="s">
        <v>349</v>
      </c>
      <c r="B11" s="4" t="s">
        <v>350</v>
      </c>
      <c r="C11" s="4" t="s">
        <v>351</v>
      </c>
      <c r="D11" s="4" t="s">
        <v>352</v>
      </c>
    </row>
    <row r="12" spans="1:4" x14ac:dyDescent="0.3">
      <c r="A12" s="4" t="s">
        <v>353</v>
      </c>
      <c r="B12" s="4" t="s">
        <v>354</v>
      </c>
      <c r="C12" s="4" t="s">
        <v>355</v>
      </c>
      <c r="D12" s="4" t="s">
        <v>356</v>
      </c>
    </row>
    <row r="13" spans="1:4" x14ac:dyDescent="0.3">
      <c r="A13" s="4" t="s">
        <v>357</v>
      </c>
      <c r="B13" s="4" t="s">
        <v>358</v>
      </c>
      <c r="C13" s="4" t="s">
        <v>359</v>
      </c>
      <c r="D13" s="4" t="s">
        <v>360</v>
      </c>
    </row>
    <row r="14" spans="1:4" x14ac:dyDescent="0.3">
      <c r="A14" s="4" t="s">
        <v>361</v>
      </c>
      <c r="B14" s="4" t="s">
        <v>362</v>
      </c>
      <c r="C14" s="4" t="s">
        <v>363</v>
      </c>
      <c r="D14" s="4" t="s">
        <v>364</v>
      </c>
    </row>
    <row r="15" spans="1:4" x14ac:dyDescent="0.3">
      <c r="A15" s="4" t="s">
        <v>657</v>
      </c>
      <c r="B15" s="4" t="s">
        <v>658</v>
      </c>
      <c r="C15" s="4" t="s">
        <v>659</v>
      </c>
      <c r="D15" s="4" t="s">
        <v>661</v>
      </c>
    </row>
    <row r="16" spans="1:4" x14ac:dyDescent="0.3">
      <c r="A16" s="4"/>
    </row>
    <row r="17" spans="1:4" x14ac:dyDescent="0.3">
      <c r="A17" s="25" t="s">
        <v>262</v>
      </c>
      <c r="B17" s="46"/>
      <c r="C17" s="46"/>
      <c r="D17" s="46"/>
    </row>
    <row r="18" spans="1:4" x14ac:dyDescent="0.3">
      <c r="A18" s="4" t="s">
        <v>365</v>
      </c>
      <c r="B18" s="4" t="s">
        <v>366</v>
      </c>
      <c r="C18" s="4" t="s">
        <v>117</v>
      </c>
      <c r="D18" s="4" t="s">
        <v>367</v>
      </c>
    </row>
    <row r="19" spans="1:4" x14ac:dyDescent="0.3">
      <c r="A19" s="4"/>
    </row>
    <row r="20" spans="1:4" x14ac:dyDescent="0.3">
      <c r="A20" s="63" t="s">
        <v>368</v>
      </c>
      <c r="B20" s="57"/>
      <c r="C20" s="57"/>
      <c r="D20" s="57"/>
    </row>
    <row r="21" spans="1:4" x14ac:dyDescent="0.3">
      <c r="A21" s="4" t="s">
        <v>369</v>
      </c>
      <c r="B21" s="8">
        <v>190</v>
      </c>
      <c r="C21" s="4"/>
      <c r="D21" s="4"/>
    </row>
    <row r="22" spans="1:4" x14ac:dyDescent="0.3">
      <c r="A22" s="4" t="s">
        <v>370</v>
      </c>
      <c r="B22" s="8">
        <v>192</v>
      </c>
      <c r="C22" s="4"/>
      <c r="D22" s="4"/>
    </row>
    <row r="23" spans="1:4" x14ac:dyDescent="0.3">
      <c r="A23" s="4" t="s">
        <v>371</v>
      </c>
      <c r="B23" s="8">
        <v>193</v>
      </c>
      <c r="C23" s="4"/>
      <c r="D23" s="4"/>
    </row>
    <row r="24" spans="1:4" x14ac:dyDescent="0.3">
      <c r="A24" s="4" t="s">
        <v>372</v>
      </c>
      <c r="B24" s="4" t="s">
        <v>373</v>
      </c>
      <c r="C24" s="4" t="s">
        <v>374</v>
      </c>
      <c r="D24" s="4" t="s">
        <v>375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BFCE4-978B-4574-B250-E56C2299B697}">
  <dimension ref="A1:F255"/>
  <sheetViews>
    <sheetView workbookViewId="0">
      <pane ySplit="1" topLeftCell="A2" activePane="bottomLeft" state="frozen"/>
      <selection pane="bottomLeft" activeCell="L30" sqref="L30"/>
    </sheetView>
  </sheetViews>
  <sheetFormatPr baseColWidth="10" defaultRowHeight="14.4" x14ac:dyDescent="0.3"/>
  <cols>
    <col min="1" max="1" width="37" customWidth="1"/>
    <col min="2" max="3" width="46.33203125" customWidth="1"/>
    <col min="4" max="4" width="51.88671875" customWidth="1"/>
    <col min="5" max="5" width="33.33203125" customWidth="1"/>
    <col min="6" max="6" width="37" customWidth="1"/>
  </cols>
  <sheetData>
    <row r="1" spans="1:4" ht="15.6" x14ac:dyDescent="0.3">
      <c r="A1" s="49" t="s">
        <v>693</v>
      </c>
    </row>
    <row r="2" spans="1:4" x14ac:dyDescent="0.3">
      <c r="A2" s="126" t="s">
        <v>694</v>
      </c>
    </row>
    <row r="4" spans="1:4" x14ac:dyDescent="0.3">
      <c r="A4" s="100" t="s">
        <v>695</v>
      </c>
    </row>
    <row r="5" spans="1:4" x14ac:dyDescent="0.3">
      <c r="A5" s="127" t="s">
        <v>696</v>
      </c>
    </row>
    <row r="6" spans="1:4" x14ac:dyDescent="0.3">
      <c r="A6" s="100" t="s">
        <v>695</v>
      </c>
    </row>
    <row r="7" spans="1:4" x14ac:dyDescent="0.3">
      <c r="A7" s="30" t="s">
        <v>295</v>
      </c>
      <c r="B7" s="30" t="s">
        <v>485</v>
      </c>
      <c r="C7" s="30" t="s">
        <v>697</v>
      </c>
      <c r="D7" s="30" t="s">
        <v>627</v>
      </c>
    </row>
    <row r="8" spans="1:4" x14ac:dyDescent="0.3">
      <c r="A8" t="s">
        <v>2</v>
      </c>
      <c r="B8" t="s">
        <v>487</v>
      </c>
      <c r="C8" t="s">
        <v>698</v>
      </c>
      <c r="D8" t="s">
        <v>630</v>
      </c>
    </row>
    <row r="9" spans="1:4" x14ac:dyDescent="0.3">
      <c r="A9" t="s">
        <v>1</v>
      </c>
      <c r="B9" t="s">
        <v>486</v>
      </c>
      <c r="C9" t="s">
        <v>699</v>
      </c>
      <c r="D9" t="s">
        <v>630</v>
      </c>
    </row>
    <row r="10" spans="1:4" x14ac:dyDescent="0.3">
      <c r="A10" t="s">
        <v>488</v>
      </c>
      <c r="B10" t="s">
        <v>489</v>
      </c>
      <c r="C10" t="s">
        <v>700</v>
      </c>
      <c r="D10" t="s">
        <v>635</v>
      </c>
    </row>
    <row r="11" spans="1:4" x14ac:dyDescent="0.3">
      <c r="A11" t="s">
        <v>490</v>
      </c>
      <c r="B11" t="s">
        <v>491</v>
      </c>
      <c r="C11" t="s">
        <v>700</v>
      </c>
      <c r="D11" t="s">
        <v>635</v>
      </c>
    </row>
    <row r="13" spans="1:4" x14ac:dyDescent="0.3">
      <c r="A13" s="30" t="s">
        <v>701</v>
      </c>
      <c r="B13" s="30" t="s">
        <v>492</v>
      </c>
      <c r="C13" s="30" t="s">
        <v>147</v>
      </c>
    </row>
    <row r="14" spans="1:4" x14ac:dyDescent="0.3">
      <c r="A14" t="s">
        <v>702</v>
      </c>
      <c r="B14" t="s">
        <v>493</v>
      </c>
      <c r="C14" t="s">
        <v>703</v>
      </c>
    </row>
    <row r="16" spans="1:4" x14ac:dyDescent="0.3">
      <c r="A16" s="30" t="s">
        <v>704</v>
      </c>
      <c r="B16" s="30" t="s">
        <v>494</v>
      </c>
      <c r="C16" s="30" t="s">
        <v>495</v>
      </c>
    </row>
    <row r="17" spans="1:6" x14ac:dyDescent="0.3">
      <c r="A17" s="122" t="s">
        <v>705</v>
      </c>
      <c r="B17" t="s">
        <v>496</v>
      </c>
      <c r="C17" t="s">
        <v>706</v>
      </c>
    </row>
    <row r="18" spans="1:6" x14ac:dyDescent="0.3">
      <c r="A18" s="94" t="s">
        <v>705</v>
      </c>
      <c r="B18" t="s">
        <v>497</v>
      </c>
      <c r="C18" t="s">
        <v>707</v>
      </c>
    </row>
    <row r="19" spans="1:6" x14ac:dyDescent="0.3">
      <c r="A19" s="93" t="s">
        <v>705</v>
      </c>
      <c r="B19" t="s">
        <v>498</v>
      </c>
      <c r="C19" t="s">
        <v>708</v>
      </c>
    </row>
    <row r="20" spans="1:6" x14ac:dyDescent="0.3">
      <c r="A20" s="124" t="s">
        <v>705</v>
      </c>
      <c r="B20" t="s">
        <v>709</v>
      </c>
      <c r="C20" t="s">
        <v>710</v>
      </c>
    </row>
    <row r="21" spans="1:6" x14ac:dyDescent="0.3">
      <c r="A21" s="128" t="s">
        <v>705</v>
      </c>
      <c r="B21" t="s">
        <v>499</v>
      </c>
      <c r="C21" t="s">
        <v>500</v>
      </c>
    </row>
    <row r="23" spans="1:6" x14ac:dyDescent="0.3">
      <c r="A23" s="100" t="s">
        <v>695</v>
      </c>
    </row>
    <row r="24" spans="1:6" x14ac:dyDescent="0.3">
      <c r="A24" s="127" t="s">
        <v>711</v>
      </c>
    </row>
    <row r="25" spans="1:6" x14ac:dyDescent="0.3">
      <c r="A25" s="100" t="s">
        <v>695</v>
      </c>
    </row>
    <row r="26" spans="1:6" x14ac:dyDescent="0.3">
      <c r="A26" s="42" t="s">
        <v>5</v>
      </c>
      <c r="B26" s="42" t="s">
        <v>6</v>
      </c>
      <c r="C26" s="42" t="s">
        <v>7</v>
      </c>
      <c r="D26" s="42" t="s">
        <v>712</v>
      </c>
      <c r="E26" s="42" t="s">
        <v>736</v>
      </c>
      <c r="F26" s="42" t="s">
        <v>12</v>
      </c>
    </row>
    <row r="27" spans="1:6" x14ac:dyDescent="0.3">
      <c r="A27" t="s">
        <v>549</v>
      </c>
      <c r="B27" t="s">
        <v>2</v>
      </c>
      <c r="C27" t="s">
        <v>713</v>
      </c>
      <c r="D27" t="s">
        <v>23</v>
      </c>
      <c r="E27" s="6">
        <v>0.83680555555555558</v>
      </c>
      <c r="F27" t="s">
        <v>25</v>
      </c>
    </row>
    <row r="28" spans="1:6" x14ac:dyDescent="0.3">
      <c r="A28" t="s">
        <v>552</v>
      </c>
      <c r="B28" t="s">
        <v>2</v>
      </c>
      <c r="C28" t="s">
        <v>714</v>
      </c>
      <c r="D28" s="14">
        <v>46208</v>
      </c>
      <c r="E28" s="6">
        <v>0.90625</v>
      </c>
      <c r="F28" t="s">
        <v>715</v>
      </c>
    </row>
    <row r="29" spans="1:6" x14ac:dyDescent="0.3">
      <c r="A29" t="s">
        <v>555</v>
      </c>
      <c r="B29" t="s">
        <v>1</v>
      </c>
      <c r="C29" t="s">
        <v>716</v>
      </c>
      <c r="D29" t="s">
        <v>33</v>
      </c>
      <c r="E29" s="6">
        <v>0.54166666666666663</v>
      </c>
      <c r="F29" t="s">
        <v>34</v>
      </c>
    </row>
    <row r="30" spans="1:6" x14ac:dyDescent="0.3">
      <c r="A30" t="s">
        <v>557</v>
      </c>
      <c r="B30" t="s">
        <v>1</v>
      </c>
      <c r="C30" t="s">
        <v>717</v>
      </c>
      <c r="D30" s="14">
        <v>46148</v>
      </c>
      <c r="E30" s="6">
        <v>0.95138888888888884</v>
      </c>
      <c r="F30" t="s">
        <v>34</v>
      </c>
    </row>
    <row r="31" spans="1:6" x14ac:dyDescent="0.3">
      <c r="A31" t="s">
        <v>560</v>
      </c>
      <c r="B31" t="s">
        <v>2</v>
      </c>
      <c r="C31" t="s">
        <v>717</v>
      </c>
      <c r="D31" s="14">
        <v>46148</v>
      </c>
      <c r="E31" s="6">
        <v>0.95138888888888884</v>
      </c>
      <c r="F31" t="s">
        <v>34</v>
      </c>
    </row>
    <row r="32" spans="1:6" x14ac:dyDescent="0.3">
      <c r="A32" t="s">
        <v>561</v>
      </c>
      <c r="B32" t="s">
        <v>718</v>
      </c>
      <c r="C32" t="s">
        <v>719</v>
      </c>
      <c r="D32" t="s">
        <v>49</v>
      </c>
      <c r="E32" s="6">
        <v>0.61805555555555558</v>
      </c>
      <c r="F32" t="s">
        <v>50</v>
      </c>
    </row>
    <row r="33" spans="1:6" x14ac:dyDescent="0.3">
      <c r="A33" t="s">
        <v>563</v>
      </c>
      <c r="B33" t="s">
        <v>718</v>
      </c>
      <c r="C33" t="s">
        <v>720</v>
      </c>
      <c r="D33" t="s">
        <v>49</v>
      </c>
      <c r="E33" s="6">
        <v>0.75</v>
      </c>
      <c r="F33" t="s">
        <v>50</v>
      </c>
    </row>
    <row r="35" spans="1:6" x14ac:dyDescent="0.3">
      <c r="A35" s="42" t="s">
        <v>5</v>
      </c>
      <c r="B35" s="42" t="s">
        <v>10</v>
      </c>
      <c r="C35" s="42" t="s">
        <v>737</v>
      </c>
      <c r="D35" s="42" t="s">
        <v>584</v>
      </c>
      <c r="E35" s="42" t="s">
        <v>64</v>
      </c>
      <c r="F35" s="42" t="s">
        <v>65</v>
      </c>
    </row>
    <row r="36" spans="1:6" x14ac:dyDescent="0.3">
      <c r="A36" t="s">
        <v>549</v>
      </c>
      <c r="B36" t="s">
        <v>24</v>
      </c>
      <c r="C36" s="6">
        <v>0.22569444444444445</v>
      </c>
      <c r="D36" t="s">
        <v>28</v>
      </c>
      <c r="E36" s="6">
        <v>290.14999999999998</v>
      </c>
      <c r="F36" t="s">
        <v>154</v>
      </c>
    </row>
    <row r="37" spans="1:6" x14ac:dyDescent="0.3">
      <c r="A37" t="s">
        <v>552</v>
      </c>
      <c r="B37" s="14">
        <v>46239</v>
      </c>
      <c r="C37" s="6">
        <v>0.40625</v>
      </c>
      <c r="D37" t="s">
        <v>721</v>
      </c>
      <c r="E37" s="6">
        <v>311.8</v>
      </c>
      <c r="F37" t="s">
        <v>154</v>
      </c>
    </row>
    <row r="38" spans="1:6" x14ac:dyDescent="0.3">
      <c r="A38" t="s">
        <v>555</v>
      </c>
      <c r="B38" t="s">
        <v>33</v>
      </c>
      <c r="C38" s="6">
        <v>0.88888888888888884</v>
      </c>
      <c r="D38" t="s">
        <v>37</v>
      </c>
      <c r="E38" t="s">
        <v>722</v>
      </c>
      <c r="F38" t="s">
        <v>154</v>
      </c>
    </row>
    <row r="39" spans="1:6" x14ac:dyDescent="0.3">
      <c r="A39" t="s">
        <v>557</v>
      </c>
      <c r="B39" s="14">
        <v>46179</v>
      </c>
      <c r="C39" s="6">
        <v>0.72916666666666663</v>
      </c>
      <c r="D39" t="s">
        <v>37</v>
      </c>
      <c r="E39" t="s">
        <v>723</v>
      </c>
      <c r="F39" t="s">
        <v>154</v>
      </c>
    </row>
    <row r="40" spans="1:6" x14ac:dyDescent="0.3">
      <c r="A40" t="s">
        <v>560</v>
      </c>
      <c r="B40" s="14">
        <v>46179</v>
      </c>
      <c r="C40" s="6">
        <v>0.72916666666666663</v>
      </c>
      <c r="D40" t="s">
        <v>43</v>
      </c>
      <c r="E40">
        <v>552.15</v>
      </c>
      <c r="F40" t="s">
        <v>154</v>
      </c>
    </row>
    <row r="41" spans="1:6" x14ac:dyDescent="0.3">
      <c r="A41" t="s">
        <v>561</v>
      </c>
      <c r="B41" t="s">
        <v>49</v>
      </c>
      <c r="C41" s="6">
        <v>0.66319444444444442</v>
      </c>
      <c r="D41" t="s">
        <v>395</v>
      </c>
      <c r="E41" t="s">
        <v>154</v>
      </c>
      <c r="F41" t="s">
        <v>738</v>
      </c>
    </row>
    <row r="42" spans="1:6" x14ac:dyDescent="0.3">
      <c r="A42" t="s">
        <v>563</v>
      </c>
      <c r="B42" t="s">
        <v>49</v>
      </c>
      <c r="C42" s="6">
        <v>0.82986111111111116</v>
      </c>
      <c r="D42" t="s">
        <v>398</v>
      </c>
      <c r="E42" t="s">
        <v>154</v>
      </c>
      <c r="F42">
        <v>799.14</v>
      </c>
    </row>
    <row r="44" spans="1:6" x14ac:dyDescent="0.3">
      <c r="A44" s="42" t="s">
        <v>5</v>
      </c>
      <c r="B44" s="42" t="s">
        <v>16</v>
      </c>
      <c r="C44" s="42" t="s">
        <v>17</v>
      </c>
      <c r="D44" s="42" t="s">
        <v>18</v>
      </c>
      <c r="E44" s="42" t="s">
        <v>249</v>
      </c>
      <c r="F44" s="42" t="s">
        <v>215</v>
      </c>
    </row>
    <row r="45" spans="1:6" x14ac:dyDescent="0.3">
      <c r="A45" t="s">
        <v>549</v>
      </c>
      <c r="B45" t="s">
        <v>724</v>
      </c>
      <c r="C45" t="s">
        <v>550</v>
      </c>
      <c r="D45" t="s">
        <v>725</v>
      </c>
      <c r="E45" t="s">
        <v>726</v>
      </c>
      <c r="F45" t="s">
        <v>727</v>
      </c>
    </row>
    <row r="46" spans="1:6" x14ac:dyDescent="0.3">
      <c r="A46" t="s">
        <v>552</v>
      </c>
      <c r="B46" t="s">
        <v>739</v>
      </c>
      <c r="C46" t="s">
        <v>44</v>
      </c>
      <c r="D46" t="s">
        <v>725</v>
      </c>
      <c r="E46" t="s">
        <v>728</v>
      </c>
      <c r="F46" t="s">
        <v>554</v>
      </c>
    </row>
    <row r="47" spans="1:6" x14ac:dyDescent="0.3">
      <c r="A47" t="s">
        <v>555</v>
      </c>
      <c r="B47" t="s">
        <v>740</v>
      </c>
      <c r="C47" t="s">
        <v>550</v>
      </c>
      <c r="D47" t="s">
        <v>725</v>
      </c>
      <c r="E47" t="s">
        <v>729</v>
      </c>
      <c r="F47" t="s">
        <v>556</v>
      </c>
    </row>
    <row r="48" spans="1:6" x14ac:dyDescent="0.3">
      <c r="A48" t="s">
        <v>557</v>
      </c>
      <c r="B48" t="s">
        <v>740</v>
      </c>
      <c r="C48" t="s">
        <v>550</v>
      </c>
      <c r="D48" t="s">
        <v>730</v>
      </c>
      <c r="E48" t="s">
        <v>731</v>
      </c>
    </row>
    <row r="49" spans="1:6" x14ac:dyDescent="0.3">
      <c r="A49" t="s">
        <v>560</v>
      </c>
      <c r="B49" t="s">
        <v>740</v>
      </c>
      <c r="C49" t="s">
        <v>44</v>
      </c>
      <c r="D49" t="s">
        <v>732</v>
      </c>
      <c r="E49" t="s">
        <v>729</v>
      </c>
    </row>
    <row r="50" spans="1:6" x14ac:dyDescent="0.3">
      <c r="A50" t="s">
        <v>561</v>
      </c>
      <c r="B50">
        <v>0</v>
      </c>
      <c r="C50">
        <v>0</v>
      </c>
      <c r="D50" t="s">
        <v>733</v>
      </c>
      <c r="E50" t="s">
        <v>734</v>
      </c>
      <c r="F50" t="s">
        <v>735</v>
      </c>
    </row>
    <row r="51" spans="1:6" x14ac:dyDescent="0.3">
      <c r="A51" t="s">
        <v>563</v>
      </c>
      <c r="B51">
        <v>0</v>
      </c>
      <c r="C51">
        <v>0</v>
      </c>
      <c r="D51" t="s">
        <v>741</v>
      </c>
      <c r="E51" t="s">
        <v>734</v>
      </c>
      <c r="F51" t="s">
        <v>742</v>
      </c>
    </row>
    <row r="53" spans="1:6" x14ac:dyDescent="0.3">
      <c r="A53" s="100" t="s">
        <v>695</v>
      </c>
    </row>
    <row r="54" spans="1:6" x14ac:dyDescent="0.3">
      <c r="A54" s="26" t="s">
        <v>743</v>
      </c>
    </row>
    <row r="55" spans="1:6" x14ac:dyDescent="0.3">
      <c r="A55" s="123" t="s">
        <v>695</v>
      </c>
    </row>
    <row r="56" spans="1:6" x14ac:dyDescent="0.3">
      <c r="A56" s="42" t="s">
        <v>5</v>
      </c>
      <c r="B56" s="42" t="s">
        <v>56</v>
      </c>
      <c r="C56" s="42" t="s">
        <v>57</v>
      </c>
      <c r="D56" s="42" t="s">
        <v>58</v>
      </c>
      <c r="E56" s="42" t="s">
        <v>59</v>
      </c>
      <c r="F56" s="42" t="s">
        <v>60</v>
      </c>
    </row>
    <row r="57" spans="1:6" x14ac:dyDescent="0.3">
      <c r="A57" t="s">
        <v>570</v>
      </c>
      <c r="B57" t="s">
        <v>4</v>
      </c>
      <c r="C57" t="s">
        <v>3</v>
      </c>
      <c r="D57" t="s">
        <v>71</v>
      </c>
      <c r="E57" t="s">
        <v>72</v>
      </c>
      <c r="F57">
        <v>3</v>
      </c>
    </row>
    <row r="58" spans="1:6" x14ac:dyDescent="0.3">
      <c r="A58" t="s">
        <v>572</v>
      </c>
      <c r="B58" t="s">
        <v>80</v>
      </c>
      <c r="C58" t="s">
        <v>81</v>
      </c>
      <c r="D58" t="s">
        <v>82</v>
      </c>
      <c r="E58" t="s">
        <v>83</v>
      </c>
      <c r="F58">
        <v>2</v>
      </c>
    </row>
    <row r="59" spans="1:6" x14ac:dyDescent="0.3">
      <c r="A59" t="s">
        <v>574</v>
      </c>
      <c r="B59" t="s">
        <v>89</v>
      </c>
      <c r="C59" t="s">
        <v>90</v>
      </c>
      <c r="D59" t="s">
        <v>91</v>
      </c>
      <c r="E59" t="s">
        <v>92</v>
      </c>
      <c r="F59">
        <v>2</v>
      </c>
    </row>
    <row r="60" spans="1:6" x14ac:dyDescent="0.3">
      <c r="A60" t="s">
        <v>576</v>
      </c>
      <c r="B60" t="s">
        <v>95</v>
      </c>
      <c r="C60" t="s">
        <v>96</v>
      </c>
      <c r="D60" t="s">
        <v>97</v>
      </c>
      <c r="E60" t="s">
        <v>98</v>
      </c>
      <c r="F60">
        <v>3</v>
      </c>
    </row>
    <row r="61" spans="1:6" x14ac:dyDescent="0.3">
      <c r="A61" t="s">
        <v>643</v>
      </c>
      <c r="B61" t="s">
        <v>644</v>
      </c>
      <c r="C61" t="s">
        <v>645</v>
      </c>
      <c r="D61" s="125">
        <v>46028.5</v>
      </c>
      <c r="E61" s="125">
        <v>46087.5</v>
      </c>
      <c r="F61">
        <v>2</v>
      </c>
    </row>
    <row r="63" spans="1:6" x14ac:dyDescent="0.3">
      <c r="A63" s="42" t="s">
        <v>5</v>
      </c>
      <c r="B63" s="42" t="s">
        <v>61</v>
      </c>
      <c r="C63" s="42" t="s">
        <v>62</v>
      </c>
      <c r="D63" s="42" t="s">
        <v>63</v>
      </c>
      <c r="E63" s="42" t="s">
        <v>64</v>
      </c>
      <c r="F63" s="42" t="s">
        <v>65</v>
      </c>
    </row>
    <row r="64" spans="1:6" x14ac:dyDescent="0.3">
      <c r="A64" t="s">
        <v>570</v>
      </c>
      <c r="B64" t="s">
        <v>73</v>
      </c>
      <c r="C64" t="s">
        <v>74</v>
      </c>
      <c r="D64" t="s">
        <v>75</v>
      </c>
      <c r="E64">
        <v>103</v>
      </c>
      <c r="F64">
        <v>691.65</v>
      </c>
    </row>
    <row r="65" spans="1:6" x14ac:dyDescent="0.3">
      <c r="A65" t="s">
        <v>572</v>
      </c>
      <c r="B65" t="s">
        <v>84</v>
      </c>
      <c r="C65" t="s">
        <v>85</v>
      </c>
      <c r="D65" t="s">
        <v>75</v>
      </c>
      <c r="E65">
        <v>116</v>
      </c>
      <c r="F65">
        <v>779.62</v>
      </c>
    </row>
    <row r="66" spans="1:6" x14ac:dyDescent="0.3">
      <c r="A66" t="s">
        <v>574</v>
      </c>
      <c r="B66" t="s">
        <v>93</v>
      </c>
      <c r="C66" t="s">
        <v>94</v>
      </c>
      <c r="D66" t="s">
        <v>75</v>
      </c>
      <c r="E66">
        <v>125</v>
      </c>
      <c r="F66">
        <v>840</v>
      </c>
    </row>
    <row r="67" spans="1:6" x14ac:dyDescent="0.3">
      <c r="A67" t="s">
        <v>576</v>
      </c>
      <c r="B67" t="s">
        <v>93</v>
      </c>
      <c r="C67" t="s">
        <v>99</v>
      </c>
      <c r="D67" t="s">
        <v>100</v>
      </c>
      <c r="E67">
        <v>294</v>
      </c>
      <c r="F67">
        <v>1968</v>
      </c>
    </row>
    <row r="68" spans="1:6" x14ac:dyDescent="0.3">
      <c r="A68" t="s">
        <v>643</v>
      </c>
      <c r="B68" t="s">
        <v>93</v>
      </c>
      <c r="C68" t="s">
        <v>646</v>
      </c>
      <c r="D68" t="s">
        <v>75</v>
      </c>
      <c r="E68">
        <v>129</v>
      </c>
      <c r="F68">
        <v>861.12</v>
      </c>
    </row>
    <row r="70" spans="1:6" x14ac:dyDescent="0.3">
      <c r="A70" s="42" t="s">
        <v>5</v>
      </c>
      <c r="B70" s="42" t="s">
        <v>66</v>
      </c>
      <c r="C70" s="42" t="s">
        <v>501</v>
      </c>
      <c r="D70" s="42" t="s">
        <v>584</v>
      </c>
      <c r="E70" s="42" t="s">
        <v>69</v>
      </c>
      <c r="F70" s="42" t="s">
        <v>569</v>
      </c>
    </row>
    <row r="71" spans="1:6" x14ac:dyDescent="0.3">
      <c r="A71" t="s">
        <v>570</v>
      </c>
      <c r="B71" t="s">
        <v>76</v>
      </c>
      <c r="C71" t="s">
        <v>744</v>
      </c>
      <c r="D71">
        <v>5474140188</v>
      </c>
      <c r="E71" t="s">
        <v>78</v>
      </c>
      <c r="F71" t="s">
        <v>571</v>
      </c>
    </row>
    <row r="72" spans="1:6" x14ac:dyDescent="0.3">
      <c r="A72" t="s">
        <v>572</v>
      </c>
      <c r="B72" t="s">
        <v>86</v>
      </c>
      <c r="C72" t="s">
        <v>745</v>
      </c>
      <c r="D72">
        <v>5987193612</v>
      </c>
      <c r="E72" t="s">
        <v>88</v>
      </c>
      <c r="F72" t="s">
        <v>573</v>
      </c>
    </row>
    <row r="73" spans="1:6" x14ac:dyDescent="0.3">
      <c r="A73" t="s">
        <v>574</v>
      </c>
      <c r="B73" t="s">
        <v>746</v>
      </c>
      <c r="C73" t="s">
        <v>744</v>
      </c>
      <c r="D73">
        <v>5331265550</v>
      </c>
      <c r="E73" t="s">
        <v>88</v>
      </c>
      <c r="F73" t="s">
        <v>575</v>
      </c>
    </row>
    <row r="74" spans="1:6" x14ac:dyDescent="0.3">
      <c r="A74" t="s">
        <v>576</v>
      </c>
      <c r="B74" t="s">
        <v>747</v>
      </c>
      <c r="C74" t="s">
        <v>748</v>
      </c>
      <c r="D74">
        <v>6862089551</v>
      </c>
      <c r="E74" t="s">
        <v>102</v>
      </c>
      <c r="F74" t="s">
        <v>577</v>
      </c>
    </row>
    <row r="75" spans="1:6" x14ac:dyDescent="0.3">
      <c r="A75" t="s">
        <v>643</v>
      </c>
      <c r="B75" t="s">
        <v>749</v>
      </c>
      <c r="C75" t="s">
        <v>750</v>
      </c>
      <c r="D75" t="s">
        <v>648</v>
      </c>
      <c r="E75" t="s">
        <v>751</v>
      </c>
      <c r="F75" t="s">
        <v>650</v>
      </c>
    </row>
    <row r="77" spans="1:6" x14ac:dyDescent="0.3">
      <c r="A77" s="100" t="s">
        <v>695</v>
      </c>
    </row>
    <row r="78" spans="1:6" x14ac:dyDescent="0.3">
      <c r="A78" s="127" t="s">
        <v>752</v>
      </c>
    </row>
    <row r="79" spans="1:6" x14ac:dyDescent="0.3">
      <c r="A79" s="100" t="s">
        <v>695</v>
      </c>
    </row>
    <row r="80" spans="1:6" x14ac:dyDescent="0.3">
      <c r="A80" s="42" t="s">
        <v>753</v>
      </c>
      <c r="B80" s="42" t="s">
        <v>754</v>
      </c>
    </row>
    <row r="81" spans="1:3" x14ac:dyDescent="0.3">
      <c r="A81" t="s">
        <v>104</v>
      </c>
      <c r="B81" t="s">
        <v>105</v>
      </c>
    </row>
    <row r="82" spans="1:3" x14ac:dyDescent="0.3">
      <c r="A82" t="s">
        <v>106</v>
      </c>
      <c r="B82" t="s">
        <v>107</v>
      </c>
    </row>
    <row r="83" spans="1:3" x14ac:dyDescent="0.3">
      <c r="A83" t="s">
        <v>108</v>
      </c>
      <c r="B83" t="s">
        <v>109</v>
      </c>
    </row>
    <row r="84" spans="1:3" x14ac:dyDescent="0.3">
      <c r="A84" t="s">
        <v>110</v>
      </c>
      <c r="B84" t="s">
        <v>587</v>
      </c>
    </row>
    <row r="85" spans="1:3" x14ac:dyDescent="0.3">
      <c r="A85" t="s">
        <v>755</v>
      </c>
      <c r="B85" t="s">
        <v>756</v>
      </c>
    </row>
    <row r="86" spans="1:3" x14ac:dyDescent="0.3">
      <c r="A86" t="s">
        <v>757</v>
      </c>
      <c r="B86" t="s">
        <v>758</v>
      </c>
    </row>
    <row r="87" spans="1:3" x14ac:dyDescent="0.3">
      <c r="A87" t="s">
        <v>116</v>
      </c>
      <c r="B87" t="s">
        <v>117</v>
      </c>
    </row>
    <row r="89" spans="1:3" x14ac:dyDescent="0.3">
      <c r="A89" s="42" t="s">
        <v>759</v>
      </c>
      <c r="B89" s="42" t="s">
        <v>502</v>
      </c>
      <c r="C89" s="42" t="s">
        <v>760</v>
      </c>
    </row>
    <row r="90" spans="1:3" x14ac:dyDescent="0.3">
      <c r="A90" t="s">
        <v>124</v>
      </c>
      <c r="B90" t="s">
        <v>503</v>
      </c>
      <c r="C90" t="s">
        <v>761</v>
      </c>
    </row>
    <row r="91" spans="1:3" x14ac:dyDescent="0.3">
      <c r="A91" t="s">
        <v>126</v>
      </c>
      <c r="B91" t="s">
        <v>504</v>
      </c>
      <c r="C91">
        <v>169</v>
      </c>
    </row>
    <row r="92" spans="1:3" x14ac:dyDescent="0.3">
      <c r="A92" t="s">
        <v>128</v>
      </c>
      <c r="B92" t="s">
        <v>505</v>
      </c>
      <c r="C92">
        <v>804.44</v>
      </c>
    </row>
    <row r="93" spans="1:3" x14ac:dyDescent="0.3">
      <c r="A93" t="s">
        <v>130</v>
      </c>
      <c r="B93" t="s">
        <v>506</v>
      </c>
      <c r="C93">
        <v>1.69</v>
      </c>
    </row>
    <row r="94" spans="1:3" x14ac:dyDescent="0.3">
      <c r="A94" t="s">
        <v>132</v>
      </c>
      <c r="B94" t="s">
        <v>507</v>
      </c>
      <c r="C94">
        <v>34.950000000000003</v>
      </c>
    </row>
    <row r="95" spans="1:3" x14ac:dyDescent="0.3">
      <c r="A95" t="s">
        <v>134</v>
      </c>
      <c r="B95" t="s">
        <v>508</v>
      </c>
      <c r="C95" t="s">
        <v>762</v>
      </c>
    </row>
    <row r="96" spans="1:3" x14ac:dyDescent="0.3">
      <c r="A96" t="s">
        <v>136</v>
      </c>
      <c r="B96" t="s">
        <v>509</v>
      </c>
      <c r="C96">
        <v>233.35</v>
      </c>
    </row>
    <row r="97" spans="1:5" x14ac:dyDescent="0.3">
      <c r="A97" t="s">
        <v>138</v>
      </c>
      <c r="B97" t="s">
        <v>510</v>
      </c>
      <c r="C97">
        <v>227.76</v>
      </c>
    </row>
    <row r="98" spans="1:5" x14ac:dyDescent="0.3">
      <c r="A98" t="s">
        <v>140</v>
      </c>
      <c r="B98" t="s">
        <v>141</v>
      </c>
      <c r="C98">
        <v>408.56</v>
      </c>
    </row>
    <row r="99" spans="1:5" x14ac:dyDescent="0.3">
      <c r="A99" s="30" t="s">
        <v>142</v>
      </c>
      <c r="C99" s="30" t="s">
        <v>763</v>
      </c>
    </row>
    <row r="101" spans="1:5" x14ac:dyDescent="0.3">
      <c r="A101" t="s">
        <v>143</v>
      </c>
      <c r="B101" t="s">
        <v>764</v>
      </c>
    </row>
    <row r="102" spans="1:5" x14ac:dyDescent="0.3">
      <c r="A102" t="s">
        <v>249</v>
      </c>
      <c r="B102" t="s">
        <v>589</v>
      </c>
    </row>
    <row r="103" spans="1:5" x14ac:dyDescent="0.3">
      <c r="A103" t="s">
        <v>147</v>
      </c>
      <c r="B103" t="s">
        <v>511</v>
      </c>
    </row>
    <row r="105" spans="1:5" x14ac:dyDescent="0.3">
      <c r="A105" s="100" t="s">
        <v>695</v>
      </c>
    </row>
    <row r="106" spans="1:5" x14ac:dyDescent="0.3">
      <c r="A106" s="127" t="s">
        <v>765</v>
      </c>
    </row>
    <row r="107" spans="1:5" x14ac:dyDescent="0.3">
      <c r="A107" s="100" t="s">
        <v>695</v>
      </c>
    </row>
    <row r="108" spans="1:5" x14ac:dyDescent="0.3">
      <c r="A108" s="42" t="s">
        <v>0</v>
      </c>
      <c r="B108" s="42" t="s">
        <v>149</v>
      </c>
      <c r="C108" s="42" t="s">
        <v>1</v>
      </c>
      <c r="D108" s="42" t="s">
        <v>2</v>
      </c>
      <c r="E108" s="42" t="s">
        <v>150</v>
      </c>
    </row>
    <row r="109" spans="1:5" x14ac:dyDescent="0.3">
      <c r="A109" t="s">
        <v>151</v>
      </c>
      <c r="B109" t="s">
        <v>152</v>
      </c>
      <c r="C109" t="s">
        <v>153</v>
      </c>
      <c r="D109" t="s">
        <v>766</v>
      </c>
      <c r="E109" t="s">
        <v>154</v>
      </c>
    </row>
    <row r="110" spans="1:5" x14ac:dyDescent="0.3">
      <c r="A110" t="s">
        <v>155</v>
      </c>
      <c r="B110" t="s">
        <v>156</v>
      </c>
      <c r="C110" t="s">
        <v>153</v>
      </c>
      <c r="D110" t="s">
        <v>767</v>
      </c>
      <c r="E110" t="s">
        <v>154</v>
      </c>
    </row>
    <row r="111" spans="1:5" x14ac:dyDescent="0.3">
      <c r="A111" t="s">
        <v>157</v>
      </c>
      <c r="B111" t="s">
        <v>158</v>
      </c>
      <c r="C111" t="s">
        <v>153</v>
      </c>
      <c r="D111" t="s">
        <v>159</v>
      </c>
      <c r="E111" t="s">
        <v>154</v>
      </c>
    </row>
    <row r="112" spans="1:5" x14ac:dyDescent="0.3">
      <c r="A112" t="s">
        <v>400</v>
      </c>
      <c r="B112" t="s">
        <v>162</v>
      </c>
      <c r="C112" t="s">
        <v>153</v>
      </c>
      <c r="D112" t="s">
        <v>401</v>
      </c>
      <c r="E112" t="s">
        <v>154</v>
      </c>
    </row>
    <row r="113" spans="1:5" x14ac:dyDescent="0.3">
      <c r="A113" s="103">
        <v>46208</v>
      </c>
      <c r="B113" t="s">
        <v>161</v>
      </c>
      <c r="C113" t="s">
        <v>153</v>
      </c>
      <c r="D113" t="s">
        <v>768</v>
      </c>
      <c r="E113" t="s">
        <v>154</v>
      </c>
    </row>
    <row r="114" spans="1:5" x14ac:dyDescent="0.3">
      <c r="A114" s="103">
        <v>46239</v>
      </c>
      <c r="B114" t="s">
        <v>186</v>
      </c>
      <c r="C114" t="s">
        <v>153</v>
      </c>
      <c r="D114" t="s">
        <v>527</v>
      </c>
      <c r="E114" t="s">
        <v>154</v>
      </c>
    </row>
    <row r="115" spans="1:5" x14ac:dyDescent="0.3">
      <c r="A115" s="103" t="s">
        <v>402</v>
      </c>
      <c r="B115" t="s">
        <v>162</v>
      </c>
      <c r="C115" t="s">
        <v>153</v>
      </c>
      <c r="D115" t="s">
        <v>403</v>
      </c>
      <c r="E115" t="s">
        <v>166</v>
      </c>
    </row>
    <row r="116" spans="1:5" x14ac:dyDescent="0.3">
      <c r="A116" s="103" t="s">
        <v>164</v>
      </c>
      <c r="B116" t="s">
        <v>167</v>
      </c>
      <c r="C116" t="s">
        <v>168</v>
      </c>
      <c r="D116" t="s">
        <v>166</v>
      </c>
      <c r="E116" t="s">
        <v>166</v>
      </c>
    </row>
    <row r="117" spans="1:5" x14ac:dyDescent="0.3">
      <c r="A117" s="103" t="s">
        <v>169</v>
      </c>
      <c r="B117" t="s">
        <v>152</v>
      </c>
      <c r="C117" t="s">
        <v>168</v>
      </c>
      <c r="D117" t="s">
        <v>170</v>
      </c>
      <c r="E117" t="s">
        <v>171</v>
      </c>
    </row>
    <row r="118" spans="1:5" x14ac:dyDescent="0.3">
      <c r="A118" s="103" t="s">
        <v>172</v>
      </c>
      <c r="B118" t="s">
        <v>156</v>
      </c>
      <c r="C118" t="s">
        <v>769</v>
      </c>
      <c r="D118" t="s">
        <v>173</v>
      </c>
      <c r="E118" t="s">
        <v>174</v>
      </c>
    </row>
    <row r="119" spans="1:5" x14ac:dyDescent="0.3">
      <c r="A119" s="103" t="s">
        <v>172</v>
      </c>
      <c r="B119" t="s">
        <v>175</v>
      </c>
      <c r="C119" t="s">
        <v>529</v>
      </c>
      <c r="D119" t="s">
        <v>529</v>
      </c>
      <c r="E119" t="s">
        <v>770</v>
      </c>
    </row>
    <row r="120" spans="1:5" x14ac:dyDescent="0.3">
      <c r="A120" s="103" t="s">
        <v>177</v>
      </c>
      <c r="B120" t="s">
        <v>158</v>
      </c>
      <c r="C120" t="s">
        <v>529</v>
      </c>
      <c r="D120" t="s">
        <v>529</v>
      </c>
      <c r="E120" t="s">
        <v>770</v>
      </c>
    </row>
    <row r="121" spans="1:5" x14ac:dyDescent="0.3">
      <c r="A121" s="103" t="s">
        <v>178</v>
      </c>
      <c r="B121" t="s">
        <v>160</v>
      </c>
      <c r="C121" t="s">
        <v>179</v>
      </c>
      <c r="D121" t="s">
        <v>180</v>
      </c>
      <c r="E121" t="s">
        <v>181</v>
      </c>
    </row>
    <row r="122" spans="1:5" x14ac:dyDescent="0.3">
      <c r="A122" s="103" t="s">
        <v>182</v>
      </c>
      <c r="B122" t="s">
        <v>161</v>
      </c>
      <c r="C122" t="s">
        <v>183</v>
      </c>
      <c r="D122" t="s">
        <v>183</v>
      </c>
      <c r="E122" t="s">
        <v>184</v>
      </c>
    </row>
    <row r="123" spans="1:5" x14ac:dyDescent="0.3">
      <c r="A123" s="103" t="s">
        <v>185</v>
      </c>
      <c r="B123" t="s">
        <v>186</v>
      </c>
      <c r="C123" t="s">
        <v>183</v>
      </c>
      <c r="D123" t="s">
        <v>183</v>
      </c>
      <c r="E123" t="s">
        <v>184</v>
      </c>
    </row>
    <row r="124" spans="1:5" x14ac:dyDescent="0.3">
      <c r="A124" s="103" t="s">
        <v>187</v>
      </c>
      <c r="B124" t="s">
        <v>165</v>
      </c>
      <c r="C124" t="s">
        <v>188</v>
      </c>
      <c r="D124" t="s">
        <v>189</v>
      </c>
      <c r="E124" t="s">
        <v>189</v>
      </c>
    </row>
    <row r="125" spans="1:5" x14ac:dyDescent="0.3">
      <c r="A125" s="103" t="s">
        <v>190</v>
      </c>
      <c r="B125" t="s">
        <v>152</v>
      </c>
      <c r="C125" t="s">
        <v>189</v>
      </c>
      <c r="D125" t="s">
        <v>189</v>
      </c>
      <c r="E125" t="s">
        <v>189</v>
      </c>
    </row>
    <row r="126" spans="1:5" x14ac:dyDescent="0.3">
      <c r="A126" s="103">
        <v>46028</v>
      </c>
      <c r="B126" t="s">
        <v>156</v>
      </c>
      <c r="C126" t="s">
        <v>771</v>
      </c>
      <c r="D126" t="s">
        <v>771</v>
      </c>
      <c r="E126" t="s">
        <v>772</v>
      </c>
    </row>
    <row r="127" spans="1:5" x14ac:dyDescent="0.3">
      <c r="A127" s="103">
        <v>46059</v>
      </c>
      <c r="B127" t="s">
        <v>158</v>
      </c>
      <c r="C127" t="s">
        <v>771</v>
      </c>
      <c r="D127" t="s">
        <v>771</v>
      </c>
      <c r="E127" t="s">
        <v>772</v>
      </c>
    </row>
    <row r="128" spans="1:5" x14ac:dyDescent="0.3">
      <c r="A128" s="103">
        <v>46087</v>
      </c>
      <c r="B128" t="s">
        <v>160</v>
      </c>
      <c r="C128" t="s">
        <v>653</v>
      </c>
      <c r="D128" t="s">
        <v>189</v>
      </c>
      <c r="E128" t="s">
        <v>189</v>
      </c>
    </row>
    <row r="129" spans="1:6" x14ac:dyDescent="0.3">
      <c r="A129" s="103">
        <v>46118</v>
      </c>
      <c r="B129" t="s">
        <v>161</v>
      </c>
      <c r="C129" t="s">
        <v>189</v>
      </c>
      <c r="D129" t="s">
        <v>189</v>
      </c>
      <c r="E129" t="s">
        <v>189</v>
      </c>
    </row>
    <row r="130" spans="1:6" x14ac:dyDescent="0.3">
      <c r="A130" s="103">
        <v>46148</v>
      </c>
      <c r="B130" t="s">
        <v>186</v>
      </c>
      <c r="C130" t="s">
        <v>773</v>
      </c>
      <c r="D130" t="s">
        <v>191</v>
      </c>
      <c r="E130" t="s">
        <v>441</v>
      </c>
    </row>
    <row r="131" spans="1:6" x14ac:dyDescent="0.3">
      <c r="A131" s="103">
        <v>46179</v>
      </c>
      <c r="B131" t="s">
        <v>165</v>
      </c>
      <c r="C131" t="s">
        <v>192</v>
      </c>
      <c r="D131" t="s">
        <v>192</v>
      </c>
      <c r="E131" t="s">
        <v>442</v>
      </c>
    </row>
    <row r="133" spans="1:6" x14ac:dyDescent="0.3">
      <c r="A133" s="100" t="s">
        <v>695</v>
      </c>
    </row>
    <row r="134" spans="1:6" x14ac:dyDescent="0.3">
      <c r="A134" s="127" t="s">
        <v>774</v>
      </c>
    </row>
    <row r="135" spans="1:6" x14ac:dyDescent="0.3">
      <c r="A135" s="100" t="s">
        <v>695</v>
      </c>
    </row>
    <row r="136" spans="1:6" x14ac:dyDescent="0.3">
      <c r="A136" t="s">
        <v>775</v>
      </c>
    </row>
    <row r="137" spans="1:6" x14ac:dyDescent="0.3">
      <c r="A137" t="s">
        <v>776</v>
      </c>
    </row>
    <row r="138" spans="1:6" x14ac:dyDescent="0.3">
      <c r="A138" t="s">
        <v>777</v>
      </c>
    </row>
    <row r="139" spans="1:6" x14ac:dyDescent="0.3">
      <c r="A139" t="s">
        <v>778</v>
      </c>
    </row>
    <row r="141" spans="1:6" x14ac:dyDescent="0.3">
      <c r="A141" s="100" t="s">
        <v>695</v>
      </c>
    </row>
    <row r="142" spans="1:6" x14ac:dyDescent="0.3">
      <c r="A142" s="127" t="s">
        <v>779</v>
      </c>
    </row>
    <row r="143" spans="1:6" x14ac:dyDescent="0.3">
      <c r="A143" s="100" t="s">
        <v>695</v>
      </c>
    </row>
    <row r="144" spans="1:6" x14ac:dyDescent="0.3">
      <c r="A144" s="42" t="s">
        <v>210</v>
      </c>
      <c r="B144" s="42" t="s">
        <v>211</v>
      </c>
      <c r="C144" s="42" t="s">
        <v>212</v>
      </c>
      <c r="D144" s="42" t="s">
        <v>213</v>
      </c>
      <c r="E144" s="42" t="s">
        <v>214</v>
      </c>
      <c r="F144" s="42" t="s">
        <v>215</v>
      </c>
    </row>
    <row r="145" spans="1:6" x14ac:dyDescent="0.3">
      <c r="A145" s="26" t="s">
        <v>203</v>
      </c>
    </row>
    <row r="146" spans="1:6" x14ac:dyDescent="0.3">
      <c r="A146" t="s">
        <v>216</v>
      </c>
      <c r="B146" t="s">
        <v>217</v>
      </c>
      <c r="C146">
        <v>845.81</v>
      </c>
      <c r="E146" t="s">
        <v>75</v>
      </c>
      <c r="F146" t="s">
        <v>218</v>
      </c>
    </row>
    <row r="147" spans="1:6" x14ac:dyDescent="0.3">
      <c r="A147" t="s">
        <v>219</v>
      </c>
      <c r="B147" t="s">
        <v>220</v>
      </c>
      <c r="C147">
        <v>116</v>
      </c>
      <c r="D147">
        <v>779.62</v>
      </c>
      <c r="E147" t="s">
        <v>221</v>
      </c>
      <c r="F147" t="s">
        <v>222</v>
      </c>
    </row>
    <row r="148" spans="1:6" x14ac:dyDescent="0.3">
      <c r="A148" t="s">
        <v>219</v>
      </c>
      <c r="B148" t="s">
        <v>223</v>
      </c>
      <c r="C148">
        <v>31.25</v>
      </c>
      <c r="D148">
        <v>210</v>
      </c>
      <c r="E148" t="s">
        <v>224</v>
      </c>
      <c r="F148" t="s">
        <v>225</v>
      </c>
    </row>
    <row r="149" spans="1:6" x14ac:dyDescent="0.3">
      <c r="A149" t="s">
        <v>219</v>
      </c>
      <c r="B149" t="s">
        <v>226</v>
      </c>
      <c r="C149">
        <v>73.5</v>
      </c>
      <c r="D149">
        <v>492</v>
      </c>
      <c r="E149" t="s">
        <v>669</v>
      </c>
      <c r="F149" t="s">
        <v>227</v>
      </c>
    </row>
    <row r="150" spans="1:6" x14ac:dyDescent="0.3">
      <c r="A150" t="s">
        <v>228</v>
      </c>
      <c r="B150" t="s">
        <v>229</v>
      </c>
      <c r="D150">
        <v>3132.3</v>
      </c>
      <c r="E150" t="s">
        <v>672</v>
      </c>
      <c r="F150" t="s">
        <v>231</v>
      </c>
    </row>
    <row r="151" spans="1:6" x14ac:dyDescent="0.3">
      <c r="A151" t="s">
        <v>219</v>
      </c>
      <c r="B151" t="s">
        <v>652</v>
      </c>
      <c r="C151">
        <v>32.25</v>
      </c>
      <c r="D151">
        <v>215.28</v>
      </c>
      <c r="E151" t="s">
        <v>671</v>
      </c>
      <c r="F151" t="s">
        <v>243</v>
      </c>
    </row>
    <row r="152" spans="1:6" x14ac:dyDescent="0.3">
      <c r="A152" s="30" t="s">
        <v>232</v>
      </c>
      <c r="C152" s="30" t="s">
        <v>780</v>
      </c>
      <c r="D152" s="30" t="s">
        <v>781</v>
      </c>
    </row>
    <row r="154" spans="1:6" x14ac:dyDescent="0.3">
      <c r="A154" s="129" t="s">
        <v>195</v>
      </c>
    </row>
    <row r="155" spans="1:6" x14ac:dyDescent="0.3">
      <c r="A155" t="s">
        <v>216</v>
      </c>
      <c r="B155" t="s">
        <v>233</v>
      </c>
      <c r="C155">
        <v>290.14999999999998</v>
      </c>
      <c r="E155" t="s">
        <v>75</v>
      </c>
      <c r="F155" t="s">
        <v>234</v>
      </c>
    </row>
    <row r="156" spans="1:6" x14ac:dyDescent="0.3">
      <c r="A156" t="s">
        <v>216</v>
      </c>
      <c r="B156" t="s">
        <v>235</v>
      </c>
      <c r="C156">
        <v>552.15</v>
      </c>
      <c r="E156" t="s">
        <v>75</v>
      </c>
      <c r="F156" t="s">
        <v>236</v>
      </c>
    </row>
    <row r="157" spans="1:6" x14ac:dyDescent="0.3">
      <c r="A157" t="s">
        <v>216</v>
      </c>
      <c r="B157" t="s">
        <v>237</v>
      </c>
      <c r="D157">
        <v>699.77</v>
      </c>
      <c r="E157" t="s">
        <v>238</v>
      </c>
      <c r="F157" t="s">
        <v>782</v>
      </c>
    </row>
    <row r="158" spans="1:6" x14ac:dyDescent="0.3">
      <c r="A158" t="s">
        <v>216</v>
      </c>
      <c r="B158" t="s">
        <v>783</v>
      </c>
      <c r="C158">
        <v>311.8</v>
      </c>
      <c r="E158" t="s">
        <v>238</v>
      </c>
      <c r="F158" t="s">
        <v>512</v>
      </c>
    </row>
    <row r="159" spans="1:6" x14ac:dyDescent="0.3">
      <c r="A159" t="s">
        <v>219</v>
      </c>
      <c r="B159" t="s">
        <v>239</v>
      </c>
      <c r="C159">
        <v>51.5</v>
      </c>
      <c r="D159">
        <v>345.82499999999999</v>
      </c>
      <c r="E159" t="s">
        <v>240</v>
      </c>
      <c r="F159" t="s">
        <v>241</v>
      </c>
    </row>
    <row r="160" spans="1:6" x14ac:dyDescent="0.3">
      <c r="A160" t="s">
        <v>219</v>
      </c>
      <c r="B160" t="s">
        <v>242</v>
      </c>
      <c r="C160">
        <v>31.25</v>
      </c>
      <c r="D160">
        <v>210</v>
      </c>
      <c r="E160" t="s">
        <v>669</v>
      </c>
      <c r="F160" t="s">
        <v>243</v>
      </c>
    </row>
    <row r="161" spans="1:6" x14ac:dyDescent="0.3">
      <c r="A161" t="s">
        <v>219</v>
      </c>
      <c r="B161" t="s">
        <v>244</v>
      </c>
      <c r="C161">
        <v>73.5</v>
      </c>
      <c r="D161">
        <v>492</v>
      </c>
      <c r="E161" t="s">
        <v>672</v>
      </c>
      <c r="F161" t="s">
        <v>243</v>
      </c>
    </row>
    <row r="162" spans="1:6" x14ac:dyDescent="0.3">
      <c r="A162" t="s">
        <v>219</v>
      </c>
      <c r="B162" t="s">
        <v>652</v>
      </c>
      <c r="C162">
        <v>32.25</v>
      </c>
      <c r="D162">
        <v>215.28</v>
      </c>
      <c r="E162" t="s">
        <v>671</v>
      </c>
      <c r="F162" t="s">
        <v>243</v>
      </c>
    </row>
    <row r="163" spans="1:6" x14ac:dyDescent="0.3">
      <c r="A163" s="30" t="s">
        <v>245</v>
      </c>
      <c r="C163" s="30" t="s">
        <v>784</v>
      </c>
      <c r="D163" s="30" t="s">
        <v>785</v>
      </c>
    </row>
    <row r="165" spans="1:6" x14ac:dyDescent="0.3">
      <c r="A165" s="100" t="s">
        <v>695</v>
      </c>
    </row>
    <row r="166" spans="1:6" x14ac:dyDescent="0.3">
      <c r="A166" s="127" t="s">
        <v>786</v>
      </c>
    </row>
    <row r="167" spans="1:6" x14ac:dyDescent="0.3">
      <c r="A167" s="100" t="s">
        <v>695</v>
      </c>
    </row>
    <row r="168" spans="1:6" x14ac:dyDescent="0.3">
      <c r="A168" s="42" t="s">
        <v>210</v>
      </c>
      <c r="B168" s="42" t="s">
        <v>247</v>
      </c>
      <c r="C168" s="42" t="s">
        <v>248</v>
      </c>
      <c r="D168" s="42" t="s">
        <v>249</v>
      </c>
    </row>
    <row r="169" spans="1:6" x14ac:dyDescent="0.3">
      <c r="A169" s="30" t="s">
        <v>250</v>
      </c>
    </row>
    <row r="170" spans="1:6" x14ac:dyDescent="0.3">
      <c r="A170" t="s">
        <v>251</v>
      </c>
      <c r="B170">
        <v>290.14999999999998</v>
      </c>
      <c r="D170" t="s">
        <v>252</v>
      </c>
    </row>
    <row r="171" spans="1:6" x14ac:dyDescent="0.3">
      <c r="A171" t="s">
        <v>253</v>
      </c>
      <c r="B171">
        <v>845.81</v>
      </c>
      <c r="D171" t="s">
        <v>252</v>
      </c>
    </row>
    <row r="172" spans="1:6" x14ac:dyDescent="0.3">
      <c r="A172" t="s">
        <v>254</v>
      </c>
      <c r="B172">
        <v>552.15</v>
      </c>
      <c r="D172" t="s">
        <v>252</v>
      </c>
    </row>
    <row r="173" spans="1:6" x14ac:dyDescent="0.3">
      <c r="A173" s="30" t="s">
        <v>255</v>
      </c>
    </row>
    <row r="174" spans="1:6" x14ac:dyDescent="0.3">
      <c r="A174" t="s">
        <v>783</v>
      </c>
      <c r="B174">
        <v>311.8</v>
      </c>
      <c r="D174" t="s">
        <v>252</v>
      </c>
    </row>
    <row r="175" spans="1:6" x14ac:dyDescent="0.3">
      <c r="A175" t="s">
        <v>787</v>
      </c>
      <c r="C175" t="s">
        <v>738</v>
      </c>
      <c r="D175" t="s">
        <v>252</v>
      </c>
    </row>
    <row r="176" spans="1:6" x14ac:dyDescent="0.3">
      <c r="A176" t="s">
        <v>788</v>
      </c>
      <c r="C176">
        <v>799.14</v>
      </c>
      <c r="D176" t="s">
        <v>252</v>
      </c>
    </row>
    <row r="177" spans="1:4" x14ac:dyDescent="0.3">
      <c r="A177" s="30" t="s">
        <v>256</v>
      </c>
    </row>
    <row r="178" spans="1:4" x14ac:dyDescent="0.3">
      <c r="A178" t="s">
        <v>257</v>
      </c>
      <c r="B178">
        <v>103</v>
      </c>
      <c r="C178">
        <v>691.65</v>
      </c>
      <c r="D178" t="s">
        <v>240</v>
      </c>
    </row>
    <row r="179" spans="1:4" x14ac:dyDescent="0.3">
      <c r="A179" t="s">
        <v>258</v>
      </c>
      <c r="B179">
        <v>116</v>
      </c>
      <c r="C179">
        <v>779.62</v>
      </c>
      <c r="D179" t="s">
        <v>221</v>
      </c>
    </row>
    <row r="180" spans="1:4" x14ac:dyDescent="0.3">
      <c r="A180" t="s">
        <v>259</v>
      </c>
      <c r="B180">
        <v>125</v>
      </c>
      <c r="C180">
        <v>840</v>
      </c>
      <c r="D180" t="s">
        <v>789</v>
      </c>
    </row>
    <row r="181" spans="1:4" x14ac:dyDescent="0.3">
      <c r="A181" t="s">
        <v>261</v>
      </c>
      <c r="B181">
        <v>294</v>
      </c>
      <c r="C181" t="s">
        <v>790</v>
      </c>
      <c r="D181" t="s">
        <v>791</v>
      </c>
    </row>
    <row r="182" spans="1:4" x14ac:dyDescent="0.3">
      <c r="A182" t="s">
        <v>651</v>
      </c>
      <c r="B182">
        <v>129</v>
      </c>
      <c r="C182">
        <v>861.12</v>
      </c>
      <c r="D182" t="s">
        <v>671</v>
      </c>
    </row>
    <row r="183" spans="1:4" x14ac:dyDescent="0.3">
      <c r="A183" s="30" t="s">
        <v>262</v>
      </c>
    </row>
    <row r="184" spans="1:4" x14ac:dyDescent="0.3">
      <c r="A184" t="s">
        <v>229</v>
      </c>
      <c r="C184" t="s">
        <v>763</v>
      </c>
      <c r="D184" t="s">
        <v>230</v>
      </c>
    </row>
    <row r="186" spans="1:4" x14ac:dyDescent="0.3">
      <c r="A186" s="42" t="s">
        <v>263</v>
      </c>
    </row>
    <row r="187" spans="1:4" x14ac:dyDescent="0.3">
      <c r="A187" t="s">
        <v>264</v>
      </c>
      <c r="B187" s="30" t="s">
        <v>792</v>
      </c>
    </row>
    <row r="188" spans="1:4" x14ac:dyDescent="0.3">
      <c r="A188" t="s">
        <v>265</v>
      </c>
      <c r="C188" s="30" t="s">
        <v>793</v>
      </c>
    </row>
    <row r="189" spans="1:4" x14ac:dyDescent="0.3">
      <c r="A189" t="s">
        <v>492</v>
      </c>
      <c r="B189" t="s">
        <v>493</v>
      </c>
    </row>
    <row r="190" spans="1:4" x14ac:dyDescent="0.3">
      <c r="A190" t="s">
        <v>268</v>
      </c>
      <c r="B190" t="s">
        <v>794</v>
      </c>
    </row>
    <row r="191" spans="1:4" ht="15.6" x14ac:dyDescent="0.3">
      <c r="A191" s="49" t="s">
        <v>269</v>
      </c>
      <c r="B191" s="49" t="s">
        <v>795</v>
      </c>
    </row>
    <row r="193" spans="1:4" x14ac:dyDescent="0.3">
      <c r="A193" s="100" t="s">
        <v>695</v>
      </c>
    </row>
    <row r="194" spans="1:4" x14ac:dyDescent="0.3">
      <c r="A194" s="130" t="s">
        <v>796</v>
      </c>
    </row>
    <row r="195" spans="1:4" x14ac:dyDescent="0.3">
      <c r="A195" s="131" t="s">
        <v>695</v>
      </c>
    </row>
    <row r="196" spans="1:4" x14ac:dyDescent="0.3">
      <c r="A196" s="132" t="s">
        <v>271</v>
      </c>
      <c r="B196" s="132" t="s">
        <v>272</v>
      </c>
      <c r="C196" s="132" t="s">
        <v>273</v>
      </c>
      <c r="D196" s="132" t="s">
        <v>274</v>
      </c>
    </row>
    <row r="197" spans="1:4" x14ac:dyDescent="0.3">
      <c r="A197" s="131" t="s">
        <v>275</v>
      </c>
      <c r="B197" t="s">
        <v>797</v>
      </c>
      <c r="C197" t="s">
        <v>276</v>
      </c>
      <c r="D197" t="s">
        <v>798</v>
      </c>
    </row>
    <row r="198" spans="1:4" x14ac:dyDescent="0.3">
      <c r="A198" s="131" t="s">
        <v>275</v>
      </c>
      <c r="B198" t="s">
        <v>799</v>
      </c>
      <c r="C198" t="s">
        <v>718</v>
      </c>
      <c r="D198" t="s">
        <v>800</v>
      </c>
    </row>
    <row r="199" spans="1:4" x14ac:dyDescent="0.3">
      <c r="A199" s="133" t="s">
        <v>406</v>
      </c>
      <c r="B199" t="s">
        <v>801</v>
      </c>
      <c r="C199" t="s">
        <v>2</v>
      </c>
      <c r="D199" t="s">
        <v>802</v>
      </c>
    </row>
    <row r="200" spans="1:4" x14ac:dyDescent="0.3">
      <c r="A200" s="131" t="s">
        <v>275</v>
      </c>
      <c r="B200" t="s">
        <v>277</v>
      </c>
      <c r="C200" t="s">
        <v>718</v>
      </c>
      <c r="D200" t="s">
        <v>803</v>
      </c>
    </row>
    <row r="201" spans="1:4" x14ac:dyDescent="0.3">
      <c r="A201" s="133" t="s">
        <v>406</v>
      </c>
      <c r="B201" t="s">
        <v>804</v>
      </c>
      <c r="C201" t="s">
        <v>805</v>
      </c>
      <c r="D201" t="s">
        <v>806</v>
      </c>
    </row>
    <row r="202" spans="1:4" x14ac:dyDescent="0.3">
      <c r="A202" s="134" t="s">
        <v>279</v>
      </c>
      <c r="B202" t="s">
        <v>807</v>
      </c>
      <c r="C202" t="s">
        <v>2</v>
      </c>
      <c r="D202" t="s">
        <v>808</v>
      </c>
    </row>
    <row r="203" spans="1:4" x14ac:dyDescent="0.3">
      <c r="A203" s="134" t="s">
        <v>279</v>
      </c>
      <c r="B203" t="s">
        <v>809</v>
      </c>
      <c r="C203" t="s">
        <v>1</v>
      </c>
      <c r="D203" t="s">
        <v>810</v>
      </c>
    </row>
    <row r="204" spans="1:4" x14ac:dyDescent="0.3">
      <c r="A204" s="134" t="s">
        <v>279</v>
      </c>
      <c r="B204" t="s">
        <v>811</v>
      </c>
      <c r="C204" t="s">
        <v>718</v>
      </c>
      <c r="D204" t="s">
        <v>812</v>
      </c>
    </row>
    <row r="205" spans="1:4" x14ac:dyDescent="0.3">
      <c r="A205" s="134" t="s">
        <v>286</v>
      </c>
      <c r="B205" t="s">
        <v>813</v>
      </c>
      <c r="C205" t="s">
        <v>1</v>
      </c>
      <c r="D205" t="s">
        <v>814</v>
      </c>
    </row>
    <row r="206" spans="1:4" x14ac:dyDescent="0.3">
      <c r="A206" s="134" t="s">
        <v>286</v>
      </c>
      <c r="B206" t="s">
        <v>815</v>
      </c>
      <c r="C206" t="s">
        <v>1</v>
      </c>
      <c r="D206" t="s">
        <v>816</v>
      </c>
    </row>
    <row r="207" spans="1:4" x14ac:dyDescent="0.3">
      <c r="A207" s="134" t="s">
        <v>286</v>
      </c>
      <c r="B207" t="s">
        <v>817</v>
      </c>
      <c r="C207" t="s">
        <v>2</v>
      </c>
      <c r="D207" t="s">
        <v>818</v>
      </c>
    </row>
    <row r="208" spans="1:4" x14ac:dyDescent="0.3">
      <c r="A208" s="131" t="s">
        <v>275</v>
      </c>
      <c r="B208" t="s">
        <v>819</v>
      </c>
      <c r="C208" t="s">
        <v>1</v>
      </c>
      <c r="D208" t="s">
        <v>820</v>
      </c>
    </row>
    <row r="209" spans="1:5" x14ac:dyDescent="0.3">
      <c r="A209" s="133" t="s">
        <v>686</v>
      </c>
      <c r="B209" t="s">
        <v>821</v>
      </c>
      <c r="C209" t="s">
        <v>387</v>
      </c>
      <c r="D209" t="s">
        <v>822</v>
      </c>
    </row>
    <row r="211" spans="1:5" x14ac:dyDescent="0.3">
      <c r="A211" s="100" t="s">
        <v>695</v>
      </c>
    </row>
    <row r="212" spans="1:5" x14ac:dyDescent="0.3">
      <c r="A212" s="127" t="s">
        <v>823</v>
      </c>
    </row>
    <row r="213" spans="1:5" x14ac:dyDescent="0.3">
      <c r="A213" s="100" t="s">
        <v>695</v>
      </c>
    </row>
    <row r="214" spans="1:5" x14ac:dyDescent="0.3">
      <c r="A214" s="42" t="s">
        <v>824</v>
      </c>
      <c r="B214" s="42" t="s">
        <v>295</v>
      </c>
      <c r="C214" s="42" t="s">
        <v>296</v>
      </c>
      <c r="D214" s="42" t="s">
        <v>297</v>
      </c>
      <c r="E214" s="42" t="s">
        <v>298</v>
      </c>
    </row>
    <row r="215" spans="1:5" x14ac:dyDescent="0.3">
      <c r="A215" s="30" t="s">
        <v>299</v>
      </c>
    </row>
    <row r="216" spans="1:5" x14ac:dyDescent="0.3">
      <c r="A216" t="s">
        <v>300</v>
      </c>
      <c r="B216" t="s">
        <v>1</v>
      </c>
      <c r="C216" t="s">
        <v>301</v>
      </c>
      <c r="D216" t="s">
        <v>825</v>
      </c>
      <c r="E216" t="s">
        <v>303</v>
      </c>
    </row>
    <row r="217" spans="1:5" x14ac:dyDescent="0.3">
      <c r="A217" t="s">
        <v>300</v>
      </c>
      <c r="B217" t="s">
        <v>2</v>
      </c>
      <c r="C217" t="s">
        <v>304</v>
      </c>
      <c r="D217" t="s">
        <v>826</v>
      </c>
      <c r="E217" t="s">
        <v>303</v>
      </c>
    </row>
    <row r="218" spans="1:5" x14ac:dyDescent="0.3">
      <c r="A218" t="s">
        <v>300</v>
      </c>
      <c r="B218" t="s">
        <v>306</v>
      </c>
      <c r="C218" t="s">
        <v>307</v>
      </c>
      <c r="D218" t="s">
        <v>827</v>
      </c>
      <c r="E218" t="s">
        <v>303</v>
      </c>
    </row>
    <row r="219" spans="1:5" x14ac:dyDescent="0.3">
      <c r="A219" s="30" t="s">
        <v>309</v>
      </c>
    </row>
    <row r="220" spans="1:5" x14ac:dyDescent="0.3">
      <c r="A220" t="s">
        <v>300</v>
      </c>
      <c r="B220" t="s">
        <v>2</v>
      </c>
      <c r="C220" t="s">
        <v>310</v>
      </c>
      <c r="D220" t="s">
        <v>828</v>
      </c>
      <c r="E220" t="s">
        <v>312</v>
      </c>
    </row>
    <row r="221" spans="1:5" x14ac:dyDescent="0.3">
      <c r="A221" t="s">
        <v>300</v>
      </c>
      <c r="B221" t="s">
        <v>2</v>
      </c>
      <c r="C221" t="s">
        <v>313</v>
      </c>
      <c r="D221" t="s">
        <v>829</v>
      </c>
      <c r="E221" t="s">
        <v>315</v>
      </c>
    </row>
    <row r="222" spans="1:5" x14ac:dyDescent="0.3">
      <c r="A222" t="s">
        <v>300</v>
      </c>
      <c r="B222" t="s">
        <v>1</v>
      </c>
      <c r="C222" t="s">
        <v>316</v>
      </c>
      <c r="D222" t="s">
        <v>830</v>
      </c>
      <c r="E222" t="s">
        <v>318</v>
      </c>
    </row>
    <row r="223" spans="1:5" x14ac:dyDescent="0.3">
      <c r="A223" t="s">
        <v>300</v>
      </c>
      <c r="B223" t="s">
        <v>1</v>
      </c>
      <c r="C223" t="s">
        <v>319</v>
      </c>
      <c r="D223" t="s">
        <v>831</v>
      </c>
      <c r="E223" t="s">
        <v>315</v>
      </c>
    </row>
    <row r="224" spans="1:5" x14ac:dyDescent="0.3">
      <c r="A224" t="s">
        <v>300</v>
      </c>
      <c r="B224" t="s">
        <v>321</v>
      </c>
      <c r="C224" t="s">
        <v>322</v>
      </c>
      <c r="D224" t="s">
        <v>832</v>
      </c>
    </row>
    <row r="225" spans="1:5" x14ac:dyDescent="0.3">
      <c r="A225" s="30" t="s">
        <v>256</v>
      </c>
    </row>
    <row r="226" spans="1:5" x14ac:dyDescent="0.3">
      <c r="A226" t="s">
        <v>300</v>
      </c>
      <c r="B226" t="s">
        <v>1</v>
      </c>
      <c r="C226" t="s">
        <v>673</v>
      </c>
      <c r="D226" t="s">
        <v>833</v>
      </c>
      <c r="E226" t="s">
        <v>675</v>
      </c>
    </row>
    <row r="227" spans="1:5" x14ac:dyDescent="0.3">
      <c r="A227" t="s">
        <v>300</v>
      </c>
      <c r="B227" t="s">
        <v>1</v>
      </c>
      <c r="C227" t="s">
        <v>834</v>
      </c>
      <c r="D227" t="s">
        <v>835</v>
      </c>
      <c r="E227" t="s">
        <v>680</v>
      </c>
    </row>
    <row r="228" spans="1:5" x14ac:dyDescent="0.3">
      <c r="A228" t="s">
        <v>300</v>
      </c>
      <c r="B228" t="s">
        <v>1</v>
      </c>
      <c r="C228" t="s">
        <v>681</v>
      </c>
      <c r="D228" t="s">
        <v>836</v>
      </c>
      <c r="E228" t="s">
        <v>683</v>
      </c>
    </row>
    <row r="229" spans="1:5" x14ac:dyDescent="0.3">
      <c r="A229" t="s">
        <v>300</v>
      </c>
      <c r="B229" t="s">
        <v>306</v>
      </c>
      <c r="C229" t="s">
        <v>837</v>
      </c>
      <c r="D229" t="s">
        <v>838</v>
      </c>
      <c r="E229" t="s">
        <v>323</v>
      </c>
    </row>
    <row r="230" spans="1:5" x14ac:dyDescent="0.3">
      <c r="A230" s="30" t="s">
        <v>324</v>
      </c>
    </row>
    <row r="231" spans="1:5" x14ac:dyDescent="0.3">
      <c r="A231" t="s">
        <v>300</v>
      </c>
      <c r="B231" t="s">
        <v>321</v>
      </c>
      <c r="C231" t="s">
        <v>325</v>
      </c>
      <c r="D231" t="s">
        <v>839</v>
      </c>
      <c r="E231" t="s">
        <v>327</v>
      </c>
    </row>
    <row r="232" spans="1:5" x14ac:dyDescent="0.3">
      <c r="A232" t="s">
        <v>300</v>
      </c>
      <c r="B232" t="s">
        <v>1</v>
      </c>
      <c r="C232" t="s">
        <v>328</v>
      </c>
      <c r="D232" t="s">
        <v>840</v>
      </c>
      <c r="E232" t="s">
        <v>330</v>
      </c>
    </row>
    <row r="234" spans="1:5" x14ac:dyDescent="0.3">
      <c r="A234" s="100" t="s">
        <v>695</v>
      </c>
    </row>
    <row r="235" spans="1:5" x14ac:dyDescent="0.3">
      <c r="A235" s="127" t="s">
        <v>841</v>
      </c>
    </row>
    <row r="236" spans="1:5" x14ac:dyDescent="0.3">
      <c r="A236" s="100" t="s">
        <v>695</v>
      </c>
    </row>
    <row r="237" spans="1:5" x14ac:dyDescent="0.3">
      <c r="A237" s="42" t="s">
        <v>592</v>
      </c>
      <c r="B237" s="42" t="s">
        <v>333</v>
      </c>
      <c r="C237" s="42" t="s">
        <v>513</v>
      </c>
      <c r="D237" s="42" t="s">
        <v>215</v>
      </c>
    </row>
    <row r="238" spans="1:5" x14ac:dyDescent="0.3">
      <c r="A238" s="30" t="s">
        <v>334</v>
      </c>
    </row>
    <row r="239" spans="1:5" x14ac:dyDescent="0.3">
      <c r="A239" t="s">
        <v>335</v>
      </c>
      <c r="B239" t="s">
        <v>336</v>
      </c>
      <c r="C239" t="s">
        <v>337</v>
      </c>
      <c r="D239" t="s">
        <v>594</v>
      </c>
    </row>
    <row r="240" spans="1:5" x14ac:dyDescent="0.3">
      <c r="A240" t="s">
        <v>34</v>
      </c>
      <c r="B240" t="s">
        <v>339</v>
      </c>
      <c r="C240" t="s">
        <v>154</v>
      </c>
      <c r="D240" t="s">
        <v>596</v>
      </c>
    </row>
    <row r="241" spans="1:4" x14ac:dyDescent="0.3">
      <c r="A241" t="s">
        <v>341</v>
      </c>
      <c r="B241" t="s">
        <v>598</v>
      </c>
      <c r="C241" t="s">
        <v>343</v>
      </c>
      <c r="D241" t="s">
        <v>842</v>
      </c>
    </row>
    <row r="242" spans="1:4" x14ac:dyDescent="0.3">
      <c r="A242" t="s">
        <v>843</v>
      </c>
      <c r="B242" t="s">
        <v>345</v>
      </c>
      <c r="C242" t="s">
        <v>346</v>
      </c>
      <c r="D242" t="s">
        <v>602</v>
      </c>
    </row>
    <row r="243" spans="1:4" x14ac:dyDescent="0.3">
      <c r="A243" s="30" t="s">
        <v>348</v>
      </c>
    </row>
    <row r="244" spans="1:4" x14ac:dyDescent="0.3">
      <c r="A244" t="s">
        <v>844</v>
      </c>
      <c r="B244" t="s">
        <v>350</v>
      </c>
      <c r="C244" t="s">
        <v>845</v>
      </c>
      <c r="D244" t="s">
        <v>605</v>
      </c>
    </row>
    <row r="245" spans="1:4" x14ac:dyDescent="0.3">
      <c r="A245" t="s">
        <v>846</v>
      </c>
      <c r="B245" t="s">
        <v>354</v>
      </c>
      <c r="C245" t="s">
        <v>847</v>
      </c>
      <c r="D245" t="s">
        <v>608</v>
      </c>
    </row>
    <row r="246" spans="1:4" x14ac:dyDescent="0.3">
      <c r="A246" t="s">
        <v>848</v>
      </c>
      <c r="B246" t="s">
        <v>358</v>
      </c>
      <c r="C246" t="s">
        <v>610</v>
      </c>
      <c r="D246" t="s">
        <v>611</v>
      </c>
    </row>
    <row r="247" spans="1:4" x14ac:dyDescent="0.3">
      <c r="A247" t="s">
        <v>849</v>
      </c>
      <c r="B247" t="s">
        <v>362</v>
      </c>
      <c r="C247" t="s">
        <v>850</v>
      </c>
      <c r="D247" t="s">
        <v>615</v>
      </c>
    </row>
    <row r="248" spans="1:4" x14ac:dyDescent="0.3">
      <c r="A248" t="s">
        <v>851</v>
      </c>
      <c r="B248" t="s">
        <v>658</v>
      </c>
      <c r="C248" t="s">
        <v>852</v>
      </c>
      <c r="D248" t="s">
        <v>853</v>
      </c>
    </row>
    <row r="249" spans="1:4" x14ac:dyDescent="0.3">
      <c r="A249" s="30" t="s">
        <v>262</v>
      </c>
    </row>
    <row r="250" spans="1:4" x14ac:dyDescent="0.3">
      <c r="A250" t="s">
        <v>365</v>
      </c>
      <c r="B250" t="s">
        <v>366</v>
      </c>
      <c r="C250" t="s">
        <v>617</v>
      </c>
      <c r="D250" t="s">
        <v>854</v>
      </c>
    </row>
    <row r="251" spans="1:4" x14ac:dyDescent="0.3">
      <c r="A251" s="30" t="s">
        <v>368</v>
      </c>
    </row>
    <row r="252" spans="1:4" x14ac:dyDescent="0.3">
      <c r="A252" t="s">
        <v>369</v>
      </c>
      <c r="B252">
        <v>190</v>
      </c>
    </row>
    <row r="253" spans="1:4" x14ac:dyDescent="0.3">
      <c r="A253" s="30" t="s">
        <v>370</v>
      </c>
      <c r="B253">
        <v>192</v>
      </c>
    </row>
    <row r="254" spans="1:4" x14ac:dyDescent="0.3">
      <c r="A254" t="s">
        <v>371</v>
      </c>
      <c r="B254">
        <v>193</v>
      </c>
    </row>
    <row r="255" spans="1:4" x14ac:dyDescent="0.3">
      <c r="A255" s="30" t="s">
        <v>622</v>
      </c>
      <c r="B255" t="s">
        <v>373</v>
      </c>
      <c r="C255" t="s">
        <v>374</v>
      </c>
      <c r="D255" t="s">
        <v>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Claude Log</vt:lpstr>
      <vt:lpstr>🗄️ BD Source</vt:lpstr>
      <vt:lpstr>📋 Logistique Vols</vt:lpstr>
      <vt:lpstr>🏨 Hébergements</vt:lpstr>
      <vt:lpstr>🚗 Location Voiture</vt:lpstr>
      <vt:lpstr>📅 Where by Date</vt:lpstr>
      <vt:lpstr>📊 Timeline Gantt (2)</vt:lpstr>
      <vt:lpstr>📊 Timeline Gantt</vt:lpstr>
      <vt:lpstr>💰 Coûts par Personne</vt:lpstr>
      <vt:lpstr>💰 Budget Total</vt:lpstr>
      <vt:lpstr>⚠️ Trous &amp; Alertes</vt:lpstr>
      <vt:lpstr>Feuil2</vt:lpstr>
      <vt:lpstr>✅ Checklist Voyage</vt:lpstr>
      <vt:lpstr>📞 Contacts &amp; Adresses</vt:lpstr>
      <vt:lpstr>📄 Description HTML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Claudio Stadelmann</cp:lastModifiedBy>
  <dcterms:created xsi:type="dcterms:W3CDTF">2026-02-21T13:28:23Z</dcterms:created>
  <dcterms:modified xsi:type="dcterms:W3CDTF">2026-02-21T21:54:49Z</dcterms:modified>
</cp:coreProperties>
</file>